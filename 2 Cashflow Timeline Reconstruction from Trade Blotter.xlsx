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Raw Schedule" sheetId="2" r:id="rId6"/>
    <sheet state="visible" name="Final Schedule" sheetId="3" r:id="rId7"/>
    <sheet state="visible" name="Cashflows" sheetId="4" r:id="rId8"/>
    <sheet state="visible" name="Valuation" sheetId="5" r:id="rId9"/>
  </sheets>
  <definedNames/>
  <calcPr/>
</workbook>
</file>

<file path=xl/sharedStrings.xml><?xml version="1.0" encoding="utf-8"?>
<sst xmlns="http://schemas.openxmlformats.org/spreadsheetml/2006/main" count="34" uniqueCount="32">
  <si>
    <t>Trade ID</t>
  </si>
  <si>
    <t xml:space="preserve">Trade Date </t>
  </si>
  <si>
    <t>Maturity</t>
  </si>
  <si>
    <t>Coupon</t>
  </si>
  <si>
    <t xml:space="preserve">Frequency </t>
  </si>
  <si>
    <t>Months</t>
  </si>
  <si>
    <t>Notional</t>
  </si>
  <si>
    <t>T001</t>
  </si>
  <si>
    <t>Quarterly</t>
  </si>
  <si>
    <t xml:space="preserve">Day Count </t>
  </si>
  <si>
    <t>ACT/365F</t>
  </si>
  <si>
    <t xml:space="preserve">Business Day Convention </t>
  </si>
  <si>
    <t>Following</t>
  </si>
  <si>
    <t xml:space="preserve"> </t>
  </si>
  <si>
    <t>Coupon No.</t>
  </si>
  <si>
    <t>Coupon Date</t>
  </si>
  <si>
    <t>Keep?</t>
  </si>
  <si>
    <t>Coupon Number</t>
  </si>
  <si>
    <t>Final Payment</t>
  </si>
  <si>
    <t>Coupon No</t>
  </si>
  <si>
    <t>Accrual Start</t>
  </si>
  <si>
    <t>Accrual End</t>
  </si>
  <si>
    <t>Days</t>
  </si>
  <si>
    <t>Year Fraction</t>
  </si>
  <si>
    <t xml:space="preserve">Coupon </t>
  </si>
  <si>
    <t>Principal</t>
  </si>
  <si>
    <t>Payment Date</t>
  </si>
  <si>
    <t>Total CF</t>
  </si>
  <si>
    <t>Tau</t>
  </si>
  <si>
    <t>DF</t>
  </si>
  <si>
    <t>PV</t>
  </si>
  <si>
    <t>Bond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</si>
</sst>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M/d/yyyy"/>
    <numFmt numFmtId="166" formatCode="0.0000"/>
    <numFmt numFmtId="167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sz val="12.0"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2" fontId="2" numFmtId="10" xfId="0" applyAlignment="1" applyBorder="1" applyFont="1" applyNumberForma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3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2" fontId="2" numFmtId="0" xfId="0" applyAlignment="1" applyBorder="1" applyFont="1">
      <alignment readingOrder="0"/>
    </xf>
    <xf borderId="8" fillId="0" fontId="1" numFmtId="0" xfId="0" applyAlignment="1" applyBorder="1" applyFont="1">
      <alignment horizontal="right" readingOrder="0"/>
    </xf>
    <xf borderId="4" fillId="2" fontId="2" numFmtId="0" xfId="0" applyAlignment="1" applyBorder="1" applyFont="1">
      <alignment readingOrder="0"/>
    </xf>
    <xf borderId="6" fillId="0" fontId="1" numFmtId="0" xfId="0" applyAlignment="1" applyBorder="1" applyFont="1">
      <alignment horizontal="right" readingOrder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Font="1" applyNumberFormat="1"/>
    <xf borderId="0" fillId="0" fontId="1" numFmtId="167" xfId="0" applyFont="1" applyNumberFormat="1"/>
    <xf borderId="2" fillId="2" fontId="2" numFmtId="166" xfId="0" applyAlignment="1" applyBorder="1" applyFont="1" applyNumberFormat="1">
      <alignment horizontal="center" readingOrder="0"/>
    </xf>
    <xf borderId="2" fillId="2" fontId="2" numFmtId="167" xfId="0" applyAlignment="1" applyBorder="1" applyFont="1" applyNumberFormat="1">
      <alignment horizontal="center" readingOrder="0"/>
    </xf>
    <xf borderId="7" fillId="0" fontId="1" numFmtId="0" xfId="0" applyBorder="1" applyFont="1"/>
    <xf borderId="0" fillId="0" fontId="1" numFmtId="165" xfId="0" applyFont="1" applyNumberFormat="1"/>
    <xf borderId="0" fillId="0" fontId="1" numFmtId="0" xfId="0" applyFont="1"/>
    <xf borderId="8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5" fillId="0" fontId="1" numFmtId="166" xfId="0" applyBorder="1" applyFont="1" applyNumberFormat="1"/>
    <xf borderId="5" fillId="0" fontId="1" numFmtId="167" xfId="0" applyBorder="1" applyFont="1" applyNumberFormat="1"/>
    <xf borderId="6" fillId="0" fontId="1" numFmtId="0" xfId="0" applyBorder="1" applyFont="1"/>
    <xf borderId="9" fillId="2" fontId="3" numFmtId="0" xfId="0" applyAlignment="1" applyBorder="1" applyFont="1">
      <alignment readingOrder="0"/>
    </xf>
    <xf borderId="10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9" max="9" width="35.63"/>
  </cols>
  <sheetData>
    <row r="1">
      <c r="E1" s="1"/>
    </row>
    <row r="2">
      <c r="B2" s="2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5" t="s">
        <v>5</v>
      </c>
      <c r="I2" s="6" t="s">
        <v>6</v>
      </c>
      <c r="J2" s="7">
        <v>1.0E7</v>
      </c>
    </row>
    <row r="3">
      <c r="B3" s="8" t="s">
        <v>7</v>
      </c>
      <c r="C3" s="9">
        <v>46097.0</v>
      </c>
      <c r="D3" s="9">
        <v>52963.0</v>
      </c>
      <c r="E3" s="10">
        <v>0.0725</v>
      </c>
      <c r="F3" s="11" t="s">
        <v>8</v>
      </c>
      <c r="G3" s="12">
        <f>IF(F3 = "Annual",12, IF(F3 = "Semi",6, IF(F3 = "Quarterly", 3, "")))</f>
        <v>3</v>
      </c>
      <c r="I3" s="13" t="s">
        <v>9</v>
      </c>
      <c r="J3" s="14" t="s">
        <v>10</v>
      </c>
    </row>
    <row r="4">
      <c r="E4" s="1"/>
      <c r="I4" s="15" t="s">
        <v>11</v>
      </c>
      <c r="J4" s="16" t="s">
        <v>12</v>
      </c>
    </row>
    <row r="5">
      <c r="E5" s="1"/>
    </row>
    <row r="6">
      <c r="E6" s="1"/>
    </row>
    <row r="7">
      <c r="E7" s="1"/>
    </row>
    <row r="8">
      <c r="E8" s="1"/>
    </row>
    <row r="9">
      <c r="E9" s="1"/>
    </row>
    <row r="10">
      <c r="E10" s="1"/>
    </row>
    <row r="11">
      <c r="E11" s="1"/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7" t="s">
        <v>13</v>
      </c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  <col customWidth="1" min="3" max="3" width="21.38"/>
    <col customWidth="1" min="4" max="4" width="19.75"/>
  </cols>
  <sheetData>
    <row r="1">
      <c r="B1" s="18"/>
      <c r="C1" s="19"/>
      <c r="D1" s="18"/>
    </row>
    <row r="2">
      <c r="B2" s="20" t="s">
        <v>14</v>
      </c>
      <c r="C2" s="21" t="s">
        <v>15</v>
      </c>
      <c r="D2" s="20" t="s">
        <v>16</v>
      </c>
    </row>
    <row r="3">
      <c r="B3" s="22">
        <v>0.0</v>
      </c>
      <c r="C3" s="19">
        <f>Inputs!D3</f>
        <v>52963</v>
      </c>
      <c r="D3" s="18" t="str">
        <f>IF(C3&gt;Inputs!$C$3, "Keep", "Discard")</f>
        <v>Keep</v>
      </c>
    </row>
    <row r="4">
      <c r="B4" s="22">
        <v>1.0</v>
      </c>
      <c r="C4" s="19">
        <f>EDATE(C3,-Inputs!$G$3)</f>
        <v>52871</v>
      </c>
      <c r="D4" s="18" t="str">
        <f>IF(C4&gt;Inputs!$C$3, "Keep", "Discard")</f>
        <v>Keep</v>
      </c>
    </row>
    <row r="5">
      <c r="B5" s="22">
        <v>2.0</v>
      </c>
      <c r="C5" s="19">
        <f>EDATE(C4,-Inputs!$G$3)</f>
        <v>52779</v>
      </c>
      <c r="D5" s="18" t="str">
        <f>IF(C5&gt;Inputs!$C$3, "Keep", "Discard")</f>
        <v>Keep</v>
      </c>
    </row>
    <row r="6">
      <c r="B6" s="22">
        <f t="shared" ref="B6:B113" si="1">B5+1</f>
        <v>3</v>
      </c>
      <c r="C6" s="19">
        <f>EDATE(C5,-Inputs!$G$3)</f>
        <v>52688</v>
      </c>
      <c r="D6" s="18" t="str">
        <f>IF(C6&gt;Inputs!$C$3, "Keep", "Discard")</f>
        <v>Keep</v>
      </c>
    </row>
    <row r="7">
      <c r="B7" s="22">
        <f t="shared" si="1"/>
        <v>4</v>
      </c>
      <c r="C7" s="19">
        <f>EDATE(C6,-Inputs!$G$3)</f>
        <v>52597</v>
      </c>
      <c r="D7" s="18" t="str">
        <f>IF(C7&gt;Inputs!$C$3, "Keep", "Discard")</f>
        <v>Keep</v>
      </c>
    </row>
    <row r="8">
      <c r="B8" s="22">
        <f t="shared" si="1"/>
        <v>5</v>
      </c>
      <c r="C8" s="19">
        <f>EDATE(C7,-Inputs!$G$3)</f>
        <v>52505</v>
      </c>
      <c r="D8" s="18" t="str">
        <f>IF(C8&gt;Inputs!$C$3, "Keep", "Discard")</f>
        <v>Keep</v>
      </c>
    </row>
    <row r="9">
      <c r="B9" s="22">
        <f t="shared" si="1"/>
        <v>6</v>
      </c>
      <c r="C9" s="19">
        <f>EDATE(C8,-Inputs!$G$3)</f>
        <v>52413</v>
      </c>
      <c r="D9" s="18" t="str">
        <f>IF(C9&gt;Inputs!$C$3, "Keep", "Discard")</f>
        <v>Keep</v>
      </c>
    </row>
    <row r="10">
      <c r="B10" s="22">
        <f t="shared" si="1"/>
        <v>7</v>
      </c>
      <c r="C10" s="19">
        <f>EDATE(C9,-Inputs!$G$3)</f>
        <v>52322</v>
      </c>
      <c r="D10" s="18" t="str">
        <f>IF(C10&gt;Inputs!$C$3, "Keep", "Discard")</f>
        <v>Keep</v>
      </c>
    </row>
    <row r="11">
      <c r="B11" s="22">
        <f t="shared" si="1"/>
        <v>8</v>
      </c>
      <c r="C11" s="19">
        <f>EDATE(C10,-Inputs!$G$3)</f>
        <v>52232</v>
      </c>
      <c r="D11" s="18" t="str">
        <f>IF(C11&gt;Inputs!$C$3, "Keep", "Discard")</f>
        <v>Keep</v>
      </c>
    </row>
    <row r="12">
      <c r="B12" s="22">
        <f t="shared" si="1"/>
        <v>9</v>
      </c>
      <c r="C12" s="19">
        <f>EDATE(C11,-Inputs!$G$3)</f>
        <v>52140</v>
      </c>
      <c r="D12" s="18" t="str">
        <f>IF(C12&gt;Inputs!$C$3, "Keep", "Discard")</f>
        <v>Keep</v>
      </c>
    </row>
    <row r="13">
      <c r="B13" s="22">
        <f t="shared" si="1"/>
        <v>10</v>
      </c>
      <c r="C13" s="19">
        <f>EDATE(C12,-Inputs!$G$3)</f>
        <v>52048</v>
      </c>
      <c r="D13" s="18" t="str">
        <f>IF(C13&gt;Inputs!$C$3, "Keep", "Discard")</f>
        <v>Keep</v>
      </c>
    </row>
    <row r="14">
      <c r="B14" s="22">
        <f t="shared" si="1"/>
        <v>11</v>
      </c>
      <c r="C14" s="19">
        <f>EDATE(C13,-Inputs!$G$3)</f>
        <v>51957</v>
      </c>
      <c r="D14" s="18" t="str">
        <f>IF(C14&gt;Inputs!$C$3, "Keep", "Discard")</f>
        <v>Keep</v>
      </c>
    </row>
    <row r="15">
      <c r="B15" s="22">
        <f t="shared" si="1"/>
        <v>12</v>
      </c>
      <c r="C15" s="19">
        <f>EDATE(C14,-Inputs!$G$3)</f>
        <v>51867</v>
      </c>
      <c r="D15" s="18" t="str">
        <f>IF(C15&gt;Inputs!$C$3, "Keep", "Discard")</f>
        <v>Keep</v>
      </c>
    </row>
    <row r="16">
      <c r="B16" s="22">
        <f t="shared" si="1"/>
        <v>13</v>
      </c>
      <c r="C16" s="19">
        <f>EDATE(C15,-Inputs!$G$3)</f>
        <v>51775</v>
      </c>
      <c r="D16" s="18" t="str">
        <f>IF(C16&gt;Inputs!$C$3, "Keep", "Discard")</f>
        <v>Keep</v>
      </c>
    </row>
    <row r="17">
      <c r="B17" s="22">
        <f t="shared" si="1"/>
        <v>14</v>
      </c>
      <c r="C17" s="19">
        <f>EDATE(C16,-Inputs!$G$3)</f>
        <v>51683</v>
      </c>
      <c r="D17" s="18" t="str">
        <f>IF(C17&gt;Inputs!$C$3, "Keep", "Discard")</f>
        <v>Keep</v>
      </c>
    </row>
    <row r="18">
      <c r="B18" s="22">
        <f t="shared" si="1"/>
        <v>15</v>
      </c>
      <c r="C18" s="19">
        <f>EDATE(C17,-Inputs!$G$3)</f>
        <v>51592</v>
      </c>
      <c r="D18" s="18" t="str">
        <f>IF(C18&gt;Inputs!$C$3, "Keep", "Discard")</f>
        <v>Keep</v>
      </c>
    </row>
    <row r="19">
      <c r="B19" s="22">
        <f t="shared" si="1"/>
        <v>16</v>
      </c>
      <c r="C19" s="19">
        <f>EDATE(C18,-Inputs!$G$3)</f>
        <v>51502</v>
      </c>
      <c r="D19" s="18" t="str">
        <f>IF(C19&gt;Inputs!$C$3, "Keep", "Discard")</f>
        <v>Keep</v>
      </c>
    </row>
    <row r="20">
      <c r="B20" s="22">
        <f t="shared" si="1"/>
        <v>17</v>
      </c>
      <c r="C20" s="19">
        <f>EDATE(C19,-Inputs!$G$3)</f>
        <v>51410</v>
      </c>
      <c r="D20" s="18" t="str">
        <f>IF(C20&gt;Inputs!$C$3, "Keep", "Discard")</f>
        <v>Keep</v>
      </c>
    </row>
    <row r="21">
      <c r="B21" s="22">
        <f t="shared" si="1"/>
        <v>18</v>
      </c>
      <c r="C21" s="19">
        <f>EDATE(C20,-Inputs!$G$3)</f>
        <v>51318</v>
      </c>
      <c r="D21" s="18" t="str">
        <f>IF(C21&gt;Inputs!$C$3, "Keep", "Discard")</f>
        <v>Keep</v>
      </c>
    </row>
    <row r="22">
      <c r="B22" s="22">
        <f t="shared" si="1"/>
        <v>19</v>
      </c>
      <c r="C22" s="19">
        <f>EDATE(C21,-Inputs!$G$3)</f>
        <v>51227</v>
      </c>
      <c r="D22" s="18" t="str">
        <f>IF(C22&gt;Inputs!$C$3, "Keep", "Discard")</f>
        <v>Keep</v>
      </c>
    </row>
    <row r="23">
      <c r="B23" s="22">
        <f t="shared" si="1"/>
        <v>20</v>
      </c>
      <c r="C23" s="19">
        <f>EDATE(C22,-Inputs!$G$3)</f>
        <v>51136</v>
      </c>
      <c r="D23" s="18" t="str">
        <f>IF(C23&gt;Inputs!$C$3, "Keep", "Discard")</f>
        <v>Keep</v>
      </c>
    </row>
    <row r="24">
      <c r="B24" s="22">
        <f t="shared" si="1"/>
        <v>21</v>
      </c>
      <c r="C24" s="19">
        <f>EDATE(C23,-Inputs!$G$3)</f>
        <v>51044</v>
      </c>
      <c r="D24" s="18" t="str">
        <f>IF(C24&gt;Inputs!$C$3, "Keep", "Discard")</f>
        <v>Keep</v>
      </c>
    </row>
    <row r="25">
      <c r="B25" s="22">
        <f t="shared" si="1"/>
        <v>22</v>
      </c>
      <c r="C25" s="19">
        <f>EDATE(C24,-Inputs!$G$3)</f>
        <v>50952</v>
      </c>
      <c r="D25" s="18" t="str">
        <f>IF(C25&gt;Inputs!$C$3, "Keep", "Discard")</f>
        <v>Keep</v>
      </c>
    </row>
    <row r="26">
      <c r="B26" s="22">
        <f t="shared" si="1"/>
        <v>23</v>
      </c>
      <c r="C26" s="19">
        <f>EDATE(C25,-Inputs!$G$3)</f>
        <v>50861</v>
      </c>
      <c r="D26" s="18" t="str">
        <f>IF(C26&gt;Inputs!$C$3, "Keep", "Discard")</f>
        <v>Keep</v>
      </c>
    </row>
    <row r="27">
      <c r="B27" s="22">
        <f t="shared" si="1"/>
        <v>24</v>
      </c>
      <c r="C27" s="19">
        <f>EDATE(C26,-Inputs!$G$3)</f>
        <v>50771</v>
      </c>
      <c r="D27" s="18" t="str">
        <f>IF(C27&gt;Inputs!$C$3, "Keep", "Discard")</f>
        <v>Keep</v>
      </c>
    </row>
    <row r="28">
      <c r="B28" s="22">
        <f t="shared" si="1"/>
        <v>25</v>
      </c>
      <c r="C28" s="19">
        <f>EDATE(C27,-Inputs!$G$3)</f>
        <v>50679</v>
      </c>
      <c r="D28" s="18" t="str">
        <f>IF(C28&gt;Inputs!$C$3, "Keep", "Discard")</f>
        <v>Keep</v>
      </c>
    </row>
    <row r="29">
      <c r="B29" s="22">
        <f t="shared" si="1"/>
        <v>26</v>
      </c>
      <c r="C29" s="19">
        <f>EDATE(C28,-Inputs!$G$3)</f>
        <v>50587</v>
      </c>
      <c r="D29" s="18" t="str">
        <f>IF(C29&gt;Inputs!$C$3, "Keep", "Discard")</f>
        <v>Keep</v>
      </c>
    </row>
    <row r="30">
      <c r="B30" s="22">
        <f t="shared" si="1"/>
        <v>27</v>
      </c>
      <c r="C30" s="19">
        <f>EDATE(C29,-Inputs!$G$3)</f>
        <v>50496</v>
      </c>
      <c r="D30" s="18" t="str">
        <f>IF(C30&gt;Inputs!$C$3, "Keep", "Discard")</f>
        <v>Keep</v>
      </c>
    </row>
    <row r="31">
      <c r="B31" s="22">
        <f t="shared" si="1"/>
        <v>28</v>
      </c>
      <c r="C31" s="19">
        <f>EDATE(C30,-Inputs!$G$3)</f>
        <v>50406</v>
      </c>
      <c r="D31" s="18" t="str">
        <f>IF(C31&gt;Inputs!$C$3, "Keep", "Discard")</f>
        <v>Keep</v>
      </c>
    </row>
    <row r="32">
      <c r="B32" s="22">
        <f t="shared" si="1"/>
        <v>29</v>
      </c>
      <c r="C32" s="19">
        <f>EDATE(C31,-Inputs!$G$3)</f>
        <v>50314</v>
      </c>
      <c r="D32" s="18" t="str">
        <f>IF(C32&gt;Inputs!$C$3, "Keep", "Discard")</f>
        <v>Keep</v>
      </c>
    </row>
    <row r="33">
      <c r="B33" s="22">
        <f t="shared" si="1"/>
        <v>30</v>
      </c>
      <c r="C33" s="19">
        <f>EDATE(C32,-Inputs!$G$3)</f>
        <v>50222</v>
      </c>
      <c r="D33" s="18" t="str">
        <f>IF(C33&gt;Inputs!$C$3, "Keep", "Discard")</f>
        <v>Keep</v>
      </c>
    </row>
    <row r="34">
      <c r="B34" s="22">
        <f t="shared" si="1"/>
        <v>31</v>
      </c>
      <c r="C34" s="19">
        <f>EDATE(C33,-Inputs!$G$3)</f>
        <v>50131</v>
      </c>
      <c r="D34" s="18" t="str">
        <f>IF(C34&gt;Inputs!$C$3, "Keep", "Discard")</f>
        <v>Keep</v>
      </c>
    </row>
    <row r="35">
      <c r="B35" s="22">
        <f t="shared" si="1"/>
        <v>32</v>
      </c>
      <c r="C35" s="19">
        <f>EDATE(C34,-Inputs!$G$3)</f>
        <v>50041</v>
      </c>
      <c r="D35" s="18" t="str">
        <f>IF(C35&gt;Inputs!$C$3, "Keep", "Discard")</f>
        <v>Keep</v>
      </c>
    </row>
    <row r="36">
      <c r="B36" s="22">
        <f t="shared" si="1"/>
        <v>33</v>
      </c>
      <c r="C36" s="19">
        <f>EDATE(C35,-Inputs!$G$3)</f>
        <v>49949</v>
      </c>
      <c r="D36" s="18" t="str">
        <f>IF(C36&gt;Inputs!$C$3, "Keep", "Discard")</f>
        <v>Keep</v>
      </c>
    </row>
    <row r="37">
      <c r="B37" s="22">
        <f t="shared" si="1"/>
        <v>34</v>
      </c>
      <c r="C37" s="19">
        <f>EDATE(C36,-Inputs!$G$3)</f>
        <v>49857</v>
      </c>
      <c r="D37" s="18" t="str">
        <f>IF(C37&gt;Inputs!$C$3, "Keep", "Discard")</f>
        <v>Keep</v>
      </c>
    </row>
    <row r="38">
      <c r="B38" s="22">
        <f t="shared" si="1"/>
        <v>35</v>
      </c>
      <c r="C38" s="19">
        <f>EDATE(C37,-Inputs!$G$3)</f>
        <v>49766</v>
      </c>
      <c r="D38" s="18" t="str">
        <f>IF(C38&gt;Inputs!$C$3, "Keep", "Discard")</f>
        <v>Keep</v>
      </c>
    </row>
    <row r="39">
      <c r="B39" s="22">
        <f t="shared" si="1"/>
        <v>36</v>
      </c>
      <c r="C39" s="19">
        <f>EDATE(C38,-Inputs!$G$3)</f>
        <v>49675</v>
      </c>
      <c r="D39" s="18" t="str">
        <f>IF(C39&gt;Inputs!$C$3, "Keep", "Discard")</f>
        <v>Keep</v>
      </c>
    </row>
    <row r="40">
      <c r="B40" s="22">
        <f t="shared" si="1"/>
        <v>37</v>
      </c>
      <c r="C40" s="19">
        <f>EDATE(C39,-Inputs!$G$3)</f>
        <v>49583</v>
      </c>
      <c r="D40" s="18" t="str">
        <f>IF(C40&gt;Inputs!$C$3, "Keep", "Discard")</f>
        <v>Keep</v>
      </c>
    </row>
    <row r="41">
      <c r="B41" s="22">
        <f t="shared" si="1"/>
        <v>38</v>
      </c>
      <c r="C41" s="19">
        <f>EDATE(C40,-Inputs!$G$3)</f>
        <v>49491</v>
      </c>
      <c r="D41" s="18" t="str">
        <f>IF(C41&gt;Inputs!$C$3, "Keep", "Discard")</f>
        <v>Keep</v>
      </c>
    </row>
    <row r="42">
      <c r="B42" s="22">
        <f t="shared" si="1"/>
        <v>39</v>
      </c>
      <c r="C42" s="19">
        <f>EDATE(C41,-Inputs!$G$3)</f>
        <v>49400</v>
      </c>
      <c r="D42" s="18" t="str">
        <f>IF(C42&gt;Inputs!$C$3, "Keep", "Discard")</f>
        <v>Keep</v>
      </c>
    </row>
    <row r="43">
      <c r="B43" s="22">
        <f t="shared" si="1"/>
        <v>40</v>
      </c>
      <c r="C43" s="19">
        <f>EDATE(C42,-Inputs!$G$3)</f>
        <v>49310</v>
      </c>
      <c r="D43" s="18" t="str">
        <f>IF(C43&gt;Inputs!$C$3, "Keep", "Discard")</f>
        <v>Keep</v>
      </c>
    </row>
    <row r="44">
      <c r="B44" s="22">
        <f t="shared" si="1"/>
        <v>41</v>
      </c>
      <c r="C44" s="19">
        <f>EDATE(C43,-Inputs!$G$3)</f>
        <v>49218</v>
      </c>
      <c r="D44" s="18" t="str">
        <f>IF(C44&gt;Inputs!$C$3, "Keep", "Discard")</f>
        <v>Keep</v>
      </c>
    </row>
    <row r="45">
      <c r="B45" s="22">
        <f t="shared" si="1"/>
        <v>42</v>
      </c>
      <c r="C45" s="19">
        <f>EDATE(C44,-Inputs!$G$3)</f>
        <v>49126</v>
      </c>
      <c r="D45" s="18" t="str">
        <f>IF(C45&gt;Inputs!$C$3, "Keep", "Discard")</f>
        <v>Keep</v>
      </c>
    </row>
    <row r="46">
      <c r="B46" s="22">
        <f t="shared" si="1"/>
        <v>43</v>
      </c>
      <c r="C46" s="19">
        <f>EDATE(C45,-Inputs!$G$3)</f>
        <v>49035</v>
      </c>
      <c r="D46" s="18" t="str">
        <f>IF(C46&gt;Inputs!$C$3, "Keep", "Discard")</f>
        <v>Keep</v>
      </c>
    </row>
    <row r="47">
      <c r="B47" s="22">
        <f t="shared" si="1"/>
        <v>44</v>
      </c>
      <c r="C47" s="19">
        <f>EDATE(C46,-Inputs!$G$3)</f>
        <v>48945</v>
      </c>
      <c r="D47" s="18" t="str">
        <f>IF(C47&gt;Inputs!$C$3, "Keep", "Discard")</f>
        <v>Keep</v>
      </c>
    </row>
    <row r="48">
      <c r="B48" s="22">
        <f t="shared" si="1"/>
        <v>45</v>
      </c>
      <c r="C48" s="19">
        <f>EDATE(C47,-Inputs!$G$3)</f>
        <v>48853</v>
      </c>
      <c r="D48" s="18" t="str">
        <f>IF(C48&gt;Inputs!$C$3, "Keep", "Discard")</f>
        <v>Keep</v>
      </c>
    </row>
    <row r="49">
      <c r="B49" s="22">
        <f t="shared" si="1"/>
        <v>46</v>
      </c>
      <c r="C49" s="19">
        <f>EDATE(C48,-Inputs!$G$3)</f>
        <v>48761</v>
      </c>
      <c r="D49" s="18" t="str">
        <f>IF(C49&gt;Inputs!$C$3, "Keep", "Discard")</f>
        <v>Keep</v>
      </c>
    </row>
    <row r="50">
      <c r="B50" s="22">
        <f t="shared" si="1"/>
        <v>47</v>
      </c>
      <c r="C50" s="19">
        <f>EDATE(C49,-Inputs!$G$3)</f>
        <v>48670</v>
      </c>
      <c r="D50" s="18" t="str">
        <f>IF(C50&gt;Inputs!$C$3, "Keep", "Discard")</f>
        <v>Keep</v>
      </c>
    </row>
    <row r="51">
      <c r="B51" s="22">
        <f t="shared" si="1"/>
        <v>48</v>
      </c>
      <c r="C51" s="19">
        <f>EDATE(C50,-Inputs!$G$3)</f>
        <v>48580</v>
      </c>
      <c r="D51" s="18" t="str">
        <f>IF(C51&gt;Inputs!$C$3, "Keep", "Discard")</f>
        <v>Keep</v>
      </c>
    </row>
    <row r="52">
      <c r="B52" s="22">
        <f t="shared" si="1"/>
        <v>49</v>
      </c>
      <c r="C52" s="19">
        <f>EDATE(C51,-Inputs!$G$3)</f>
        <v>48488</v>
      </c>
      <c r="D52" s="18" t="str">
        <f>IF(C52&gt;Inputs!$C$3, "Keep", "Discard")</f>
        <v>Keep</v>
      </c>
    </row>
    <row r="53">
      <c r="B53" s="22">
        <f t="shared" si="1"/>
        <v>50</v>
      </c>
      <c r="C53" s="19">
        <f>EDATE(C52,-Inputs!$G$3)</f>
        <v>48396</v>
      </c>
      <c r="D53" s="18" t="str">
        <f>IF(C53&gt;Inputs!$C$3, "Keep", "Discard")</f>
        <v>Keep</v>
      </c>
    </row>
    <row r="54">
      <c r="B54" s="22">
        <f t="shared" si="1"/>
        <v>51</v>
      </c>
      <c r="C54" s="19">
        <f>EDATE(C53,-Inputs!$G$3)</f>
        <v>48305</v>
      </c>
      <c r="D54" s="18" t="str">
        <f>IF(C54&gt;Inputs!$C$3, "Keep", "Discard")</f>
        <v>Keep</v>
      </c>
    </row>
    <row r="55">
      <c r="B55" s="22">
        <f t="shared" si="1"/>
        <v>52</v>
      </c>
      <c r="C55" s="19">
        <f>EDATE(C54,-Inputs!$G$3)</f>
        <v>48214</v>
      </c>
      <c r="D55" s="18" t="str">
        <f>IF(C55&gt;Inputs!$C$3, "Keep", "Discard")</f>
        <v>Keep</v>
      </c>
    </row>
    <row r="56">
      <c r="B56" s="22">
        <f t="shared" si="1"/>
        <v>53</v>
      </c>
      <c r="C56" s="19">
        <f>EDATE(C55,-Inputs!$G$3)</f>
        <v>48122</v>
      </c>
      <c r="D56" s="18" t="str">
        <f>IF(C56&gt;Inputs!$C$3, "Keep", "Discard")</f>
        <v>Keep</v>
      </c>
    </row>
    <row r="57">
      <c r="B57" s="22">
        <f t="shared" si="1"/>
        <v>54</v>
      </c>
      <c r="C57" s="19">
        <f>EDATE(C56,-Inputs!$G$3)</f>
        <v>48030</v>
      </c>
      <c r="D57" s="18" t="str">
        <f>IF(C57&gt;Inputs!$C$3, "Keep", "Discard")</f>
        <v>Keep</v>
      </c>
    </row>
    <row r="58">
      <c r="B58" s="22">
        <f t="shared" si="1"/>
        <v>55</v>
      </c>
      <c r="C58" s="19">
        <f>EDATE(C57,-Inputs!$G$3)</f>
        <v>47939</v>
      </c>
      <c r="D58" s="18" t="str">
        <f>IF(C58&gt;Inputs!$C$3, "Keep", "Discard")</f>
        <v>Keep</v>
      </c>
    </row>
    <row r="59">
      <c r="B59" s="22">
        <f t="shared" si="1"/>
        <v>56</v>
      </c>
      <c r="C59" s="19">
        <f>EDATE(C58,-Inputs!$G$3)</f>
        <v>47849</v>
      </c>
      <c r="D59" s="18" t="str">
        <f>IF(C59&gt;Inputs!$C$3, "Keep", "Discard")</f>
        <v>Keep</v>
      </c>
    </row>
    <row r="60">
      <c r="B60" s="22">
        <f t="shared" si="1"/>
        <v>57</v>
      </c>
      <c r="C60" s="19">
        <f>EDATE(C59,-Inputs!$G$3)</f>
        <v>47757</v>
      </c>
      <c r="D60" s="18" t="str">
        <f>IF(C60&gt;Inputs!$C$3, "Keep", "Discard")</f>
        <v>Keep</v>
      </c>
    </row>
    <row r="61">
      <c r="B61" s="22">
        <f t="shared" si="1"/>
        <v>58</v>
      </c>
      <c r="C61" s="19">
        <f>EDATE(C60,-Inputs!$G$3)</f>
        <v>47665</v>
      </c>
      <c r="D61" s="18" t="str">
        <f>IF(C61&gt;Inputs!$C$3, "Keep", "Discard")</f>
        <v>Keep</v>
      </c>
    </row>
    <row r="62">
      <c r="B62" s="22">
        <f t="shared" si="1"/>
        <v>59</v>
      </c>
      <c r="C62" s="19">
        <f>EDATE(C61,-Inputs!$G$3)</f>
        <v>47574</v>
      </c>
      <c r="D62" s="18" t="str">
        <f>IF(C62&gt;Inputs!$C$3, "Keep", "Discard")</f>
        <v>Keep</v>
      </c>
    </row>
    <row r="63">
      <c r="B63" s="22">
        <f t="shared" si="1"/>
        <v>60</v>
      </c>
      <c r="C63" s="19">
        <f>EDATE(C62,-Inputs!$G$3)</f>
        <v>47484</v>
      </c>
      <c r="D63" s="18" t="str">
        <f>IF(C63&gt;Inputs!$C$3, "Keep", "Discard")</f>
        <v>Keep</v>
      </c>
    </row>
    <row r="64">
      <c r="B64" s="22">
        <f t="shared" si="1"/>
        <v>61</v>
      </c>
      <c r="C64" s="19">
        <f>EDATE(C63,-Inputs!$G$3)</f>
        <v>47392</v>
      </c>
      <c r="D64" s="18" t="str">
        <f>IF(C64&gt;Inputs!$C$3, "Keep", "Discard")</f>
        <v>Keep</v>
      </c>
    </row>
    <row r="65">
      <c r="B65" s="22">
        <f t="shared" si="1"/>
        <v>62</v>
      </c>
      <c r="C65" s="19">
        <f>EDATE(C64,-Inputs!$G$3)</f>
        <v>47300</v>
      </c>
      <c r="D65" s="18" t="str">
        <f>IF(C65&gt;Inputs!$C$3, "Keep", "Discard")</f>
        <v>Keep</v>
      </c>
    </row>
    <row r="66">
      <c r="B66" s="22">
        <f t="shared" si="1"/>
        <v>63</v>
      </c>
      <c r="C66" s="19">
        <f>EDATE(C65,-Inputs!$G$3)</f>
        <v>47209</v>
      </c>
      <c r="D66" s="18" t="str">
        <f>IF(C66&gt;Inputs!$C$3, "Keep", "Discard")</f>
        <v>Keep</v>
      </c>
    </row>
    <row r="67">
      <c r="B67" s="22">
        <f t="shared" si="1"/>
        <v>64</v>
      </c>
      <c r="C67" s="19">
        <f>EDATE(C66,-Inputs!$G$3)</f>
        <v>47119</v>
      </c>
      <c r="D67" s="18" t="str">
        <f>IF(C67&gt;Inputs!$C$3, "Keep", "Discard")</f>
        <v>Keep</v>
      </c>
    </row>
    <row r="68">
      <c r="B68" s="22">
        <f t="shared" si="1"/>
        <v>65</v>
      </c>
      <c r="C68" s="19">
        <f>EDATE(C67,-Inputs!$G$3)</f>
        <v>47027</v>
      </c>
      <c r="D68" s="18" t="str">
        <f>IF(C68&gt;Inputs!$C$3, "Keep", "Discard")</f>
        <v>Keep</v>
      </c>
    </row>
    <row r="69">
      <c r="B69" s="22">
        <f t="shared" si="1"/>
        <v>66</v>
      </c>
      <c r="C69" s="19">
        <f>EDATE(C68,-Inputs!$G$3)</f>
        <v>46935</v>
      </c>
      <c r="D69" s="18" t="str">
        <f>IF(C69&gt;Inputs!$C$3, "Keep", "Discard")</f>
        <v>Keep</v>
      </c>
    </row>
    <row r="70">
      <c r="B70" s="22">
        <f t="shared" si="1"/>
        <v>67</v>
      </c>
      <c r="C70" s="19">
        <f>EDATE(C69,-Inputs!$G$3)</f>
        <v>46844</v>
      </c>
      <c r="D70" s="18" t="str">
        <f>IF(C70&gt;Inputs!$C$3, "Keep", "Discard")</f>
        <v>Keep</v>
      </c>
    </row>
    <row r="71">
      <c r="B71" s="22">
        <f t="shared" si="1"/>
        <v>68</v>
      </c>
      <c r="C71" s="19">
        <f>EDATE(C70,-Inputs!$G$3)</f>
        <v>46753</v>
      </c>
      <c r="D71" s="18" t="str">
        <f>IF(C71&gt;Inputs!$C$3, "Keep", "Discard")</f>
        <v>Keep</v>
      </c>
    </row>
    <row r="72">
      <c r="B72" s="22">
        <f t="shared" si="1"/>
        <v>69</v>
      </c>
      <c r="C72" s="19">
        <f>EDATE(C71,-Inputs!$G$3)</f>
        <v>46661</v>
      </c>
      <c r="D72" s="18" t="str">
        <f>IF(C72&gt;Inputs!$C$3, "Keep", "Discard")</f>
        <v>Keep</v>
      </c>
    </row>
    <row r="73">
      <c r="B73" s="22">
        <f t="shared" si="1"/>
        <v>70</v>
      </c>
      <c r="C73" s="19">
        <f>EDATE(C72,-Inputs!$G$3)</f>
        <v>46569</v>
      </c>
      <c r="D73" s="18" t="str">
        <f>IF(C73&gt;Inputs!$C$3, "Keep", "Discard")</f>
        <v>Keep</v>
      </c>
    </row>
    <row r="74">
      <c r="B74" s="22">
        <f t="shared" si="1"/>
        <v>71</v>
      </c>
      <c r="C74" s="19">
        <f>EDATE(C73,-Inputs!$G$3)</f>
        <v>46478</v>
      </c>
      <c r="D74" s="18" t="str">
        <f>IF(C74&gt;Inputs!$C$3, "Keep", "Discard")</f>
        <v>Keep</v>
      </c>
    </row>
    <row r="75">
      <c r="B75" s="22">
        <f t="shared" si="1"/>
        <v>72</v>
      </c>
      <c r="C75" s="19">
        <f>EDATE(C74,-Inputs!$G$3)</f>
        <v>46388</v>
      </c>
      <c r="D75" s="18" t="str">
        <f>IF(C75&gt;Inputs!$C$3, "Keep", "Discard")</f>
        <v>Keep</v>
      </c>
    </row>
    <row r="76">
      <c r="B76" s="22">
        <f t="shared" si="1"/>
        <v>73</v>
      </c>
      <c r="C76" s="19">
        <f>EDATE(C75,-Inputs!$G$3)</f>
        <v>46296</v>
      </c>
      <c r="D76" s="18" t="str">
        <f>IF(C76&gt;Inputs!$C$3, "Keep", "Discard")</f>
        <v>Keep</v>
      </c>
    </row>
    <row r="77">
      <c r="B77" s="22">
        <f t="shared" si="1"/>
        <v>74</v>
      </c>
      <c r="C77" s="19">
        <f>EDATE(C76,-Inputs!$G$3)</f>
        <v>46204</v>
      </c>
      <c r="D77" s="18" t="str">
        <f>IF(C77&gt;Inputs!$C$3, "Keep", "Discard")</f>
        <v>Keep</v>
      </c>
    </row>
    <row r="78">
      <c r="B78" s="22">
        <f t="shared" si="1"/>
        <v>75</v>
      </c>
      <c r="C78" s="19">
        <f>EDATE(C77,-Inputs!$G$3)</f>
        <v>46113</v>
      </c>
      <c r="D78" s="18" t="str">
        <f>IF(C78&gt;Inputs!$C$3, "Keep", "Discard")</f>
        <v>Keep</v>
      </c>
    </row>
    <row r="79">
      <c r="B79" s="22">
        <f t="shared" si="1"/>
        <v>76</v>
      </c>
      <c r="C79" s="19">
        <f>EDATE(C78,-Inputs!$G$3)</f>
        <v>46023</v>
      </c>
      <c r="D79" s="18" t="str">
        <f>IF(C79&gt;Inputs!$C$3, "Keep", "Discard")</f>
        <v>Discard</v>
      </c>
    </row>
    <row r="80">
      <c r="B80" s="22">
        <f t="shared" si="1"/>
        <v>77</v>
      </c>
      <c r="C80" s="19">
        <f>EDATE(C79,-Inputs!$G$3)</f>
        <v>45931</v>
      </c>
      <c r="D80" s="18" t="str">
        <f>IF(C80&gt;Inputs!$C$3, "Keep", "Discard")</f>
        <v>Discard</v>
      </c>
    </row>
    <row r="81">
      <c r="B81" s="22">
        <f t="shared" si="1"/>
        <v>78</v>
      </c>
      <c r="C81" s="19">
        <f>EDATE(C80,-Inputs!$G$3)</f>
        <v>45839</v>
      </c>
      <c r="D81" s="18" t="str">
        <f>IF(C81&gt;Inputs!$C$3, "Keep", "Discard")</f>
        <v>Discard</v>
      </c>
    </row>
    <row r="82">
      <c r="B82" s="22">
        <f t="shared" si="1"/>
        <v>79</v>
      </c>
      <c r="C82" s="19">
        <f>EDATE(C81,-Inputs!$G$3)</f>
        <v>45748</v>
      </c>
      <c r="D82" s="18" t="str">
        <f>IF(C82&gt;Inputs!$C$3, "Keep", "Discard")</f>
        <v>Discard</v>
      </c>
    </row>
    <row r="83">
      <c r="B83" s="22">
        <f t="shared" si="1"/>
        <v>80</v>
      </c>
      <c r="C83" s="19">
        <f>EDATE(C82,-Inputs!$G$3)</f>
        <v>45658</v>
      </c>
      <c r="D83" s="18" t="str">
        <f>IF(C83&gt;Inputs!$C$3, "Keep", "Discard")</f>
        <v>Discard</v>
      </c>
    </row>
    <row r="84">
      <c r="B84" s="22">
        <f t="shared" si="1"/>
        <v>81</v>
      </c>
      <c r="C84" s="19">
        <f>EDATE(C83,-Inputs!$G$3)</f>
        <v>45566</v>
      </c>
      <c r="D84" s="18" t="str">
        <f>IF(C84&gt;Inputs!$C$3, "Keep", "Discard")</f>
        <v>Discard</v>
      </c>
    </row>
    <row r="85">
      <c r="B85" s="22">
        <f t="shared" si="1"/>
        <v>82</v>
      </c>
      <c r="C85" s="19">
        <f>EDATE(C84,-Inputs!$G$3)</f>
        <v>45474</v>
      </c>
      <c r="D85" s="18" t="str">
        <f>IF(C85&gt;Inputs!$C$3, "Keep", "Discard")</f>
        <v>Discard</v>
      </c>
    </row>
    <row r="86">
      <c r="B86" s="22">
        <f t="shared" si="1"/>
        <v>83</v>
      </c>
      <c r="C86" s="19">
        <f>EDATE(C85,-Inputs!$G$3)</f>
        <v>45383</v>
      </c>
      <c r="D86" s="18" t="str">
        <f>IF(C86&gt;Inputs!$C$3, "Keep", "Discard")</f>
        <v>Discard</v>
      </c>
    </row>
    <row r="87">
      <c r="B87" s="22">
        <f t="shared" si="1"/>
        <v>84</v>
      </c>
      <c r="C87" s="19">
        <f>EDATE(C86,-Inputs!$G$3)</f>
        <v>45292</v>
      </c>
      <c r="D87" s="18" t="str">
        <f>IF(C87&gt;Inputs!$C$3, "Keep", "Discard")</f>
        <v>Discard</v>
      </c>
    </row>
    <row r="88">
      <c r="B88" s="22">
        <f t="shared" si="1"/>
        <v>85</v>
      </c>
      <c r="C88" s="19">
        <f>EDATE(C87,-Inputs!$G$3)</f>
        <v>45200</v>
      </c>
      <c r="D88" s="18" t="str">
        <f>IF(C88&gt;Inputs!$C$3, "Keep", "Discard")</f>
        <v>Discard</v>
      </c>
    </row>
    <row r="89">
      <c r="B89" s="22">
        <f t="shared" si="1"/>
        <v>86</v>
      </c>
      <c r="C89" s="19">
        <f>EDATE(C88,-Inputs!$G$3)</f>
        <v>45108</v>
      </c>
      <c r="D89" s="18" t="str">
        <f>IF(C89&gt;Inputs!$C$3, "Keep", "Discard")</f>
        <v>Discard</v>
      </c>
    </row>
    <row r="90">
      <c r="B90" s="22">
        <f t="shared" si="1"/>
        <v>87</v>
      </c>
      <c r="C90" s="19">
        <f>EDATE(C89,-Inputs!$G$3)</f>
        <v>45017</v>
      </c>
      <c r="D90" s="18" t="str">
        <f>IF(C90&gt;Inputs!$C$3, "Keep", "Discard")</f>
        <v>Discard</v>
      </c>
    </row>
    <row r="91">
      <c r="B91" s="22">
        <f t="shared" si="1"/>
        <v>88</v>
      </c>
      <c r="C91" s="19">
        <f>EDATE(C90,-Inputs!$G$3)</f>
        <v>44927</v>
      </c>
      <c r="D91" s="18" t="str">
        <f>IF(C91&gt;Inputs!$C$3, "Keep", "Discard")</f>
        <v>Discard</v>
      </c>
    </row>
    <row r="92">
      <c r="B92" s="22">
        <f t="shared" si="1"/>
        <v>89</v>
      </c>
      <c r="C92" s="19">
        <f>EDATE(C91,-Inputs!$G$3)</f>
        <v>44835</v>
      </c>
      <c r="D92" s="18" t="str">
        <f>IF(C92&gt;Inputs!$C$3, "Keep", "Discard")</f>
        <v>Discard</v>
      </c>
    </row>
    <row r="93">
      <c r="B93" s="22">
        <f t="shared" si="1"/>
        <v>90</v>
      </c>
      <c r="C93" s="19">
        <f>EDATE(C92,-Inputs!$G$3)</f>
        <v>44743</v>
      </c>
      <c r="D93" s="18" t="str">
        <f>IF(C93&gt;Inputs!$C$3, "Keep", "Discard")</f>
        <v>Discard</v>
      </c>
    </row>
    <row r="94">
      <c r="B94" s="22">
        <f t="shared" si="1"/>
        <v>91</v>
      </c>
      <c r="C94" s="19">
        <f>EDATE(C93,-Inputs!$G$3)</f>
        <v>44652</v>
      </c>
      <c r="D94" s="18" t="str">
        <f>IF(C94&gt;Inputs!$C$3, "Keep", "Discard")</f>
        <v>Discard</v>
      </c>
    </row>
    <row r="95">
      <c r="B95" s="22">
        <f t="shared" si="1"/>
        <v>92</v>
      </c>
      <c r="C95" s="19">
        <f>EDATE(C94,-Inputs!$G$3)</f>
        <v>44562</v>
      </c>
      <c r="D95" s="18" t="str">
        <f>IF(C95&gt;Inputs!$C$3, "Keep", "Discard")</f>
        <v>Discard</v>
      </c>
    </row>
    <row r="96">
      <c r="B96" s="22">
        <f t="shared" si="1"/>
        <v>93</v>
      </c>
      <c r="C96" s="19">
        <f>EDATE(C95,-Inputs!$G$3)</f>
        <v>44470</v>
      </c>
      <c r="D96" s="18" t="str">
        <f>IF(C96&gt;Inputs!$C$3, "Keep", "Discard")</f>
        <v>Discard</v>
      </c>
    </row>
    <row r="97">
      <c r="B97" s="22">
        <f t="shared" si="1"/>
        <v>94</v>
      </c>
      <c r="C97" s="19">
        <f>EDATE(C96,-Inputs!$G$3)</f>
        <v>44378</v>
      </c>
      <c r="D97" s="18" t="str">
        <f>IF(C97&gt;Inputs!$C$3, "Keep", "Discard")</f>
        <v>Discard</v>
      </c>
    </row>
    <row r="98">
      <c r="B98" s="22">
        <f t="shared" si="1"/>
        <v>95</v>
      </c>
      <c r="C98" s="19">
        <f>EDATE(C97,-Inputs!$G$3)</f>
        <v>44287</v>
      </c>
      <c r="D98" s="18" t="str">
        <f>IF(C98&gt;Inputs!$C$3, "Keep", "Discard")</f>
        <v>Discard</v>
      </c>
    </row>
    <row r="99">
      <c r="B99" s="22">
        <f t="shared" si="1"/>
        <v>96</v>
      </c>
      <c r="C99" s="19">
        <f>EDATE(C98,-Inputs!$G$3)</f>
        <v>44197</v>
      </c>
      <c r="D99" s="18" t="str">
        <f>IF(C99&gt;Inputs!$C$3, "Keep", "Discard")</f>
        <v>Discard</v>
      </c>
    </row>
    <row r="100">
      <c r="B100" s="22">
        <f t="shared" si="1"/>
        <v>97</v>
      </c>
      <c r="C100" s="19">
        <f>EDATE(C99,-Inputs!$G$3)</f>
        <v>44105</v>
      </c>
      <c r="D100" s="18" t="str">
        <f>IF(C100&gt;Inputs!$C$3, "Keep", "Discard")</f>
        <v>Discard</v>
      </c>
    </row>
    <row r="101">
      <c r="B101" s="22">
        <f t="shared" si="1"/>
        <v>98</v>
      </c>
      <c r="C101" s="19">
        <f>EDATE(C100,-Inputs!$G$3)</f>
        <v>44013</v>
      </c>
      <c r="D101" s="18" t="str">
        <f>IF(C101&gt;Inputs!$C$3, "Keep", "Discard")</f>
        <v>Discard</v>
      </c>
    </row>
    <row r="102">
      <c r="B102" s="22">
        <f t="shared" si="1"/>
        <v>99</v>
      </c>
      <c r="C102" s="19">
        <f>EDATE(C101,-Inputs!$G$3)</f>
        <v>43922</v>
      </c>
      <c r="D102" s="18" t="str">
        <f>IF(C102&gt;Inputs!$C$3, "Keep", "Discard")</f>
        <v>Discard</v>
      </c>
    </row>
    <row r="103">
      <c r="B103" s="22">
        <f t="shared" si="1"/>
        <v>100</v>
      </c>
      <c r="C103" s="19">
        <f>EDATE(C102,-Inputs!$G$3)</f>
        <v>43831</v>
      </c>
      <c r="D103" s="18" t="str">
        <f>IF(C103&gt;Inputs!$C$3, "Keep", "Discard")</f>
        <v>Discard</v>
      </c>
    </row>
    <row r="104">
      <c r="B104" s="22">
        <f t="shared" si="1"/>
        <v>101</v>
      </c>
      <c r="C104" s="19">
        <f>EDATE(C103,-Inputs!$G$3)</f>
        <v>43739</v>
      </c>
      <c r="D104" s="18" t="str">
        <f>IF(C104&gt;Inputs!$C$3, "Keep", "Discard")</f>
        <v>Discard</v>
      </c>
    </row>
    <row r="105">
      <c r="B105" s="22">
        <f t="shared" si="1"/>
        <v>102</v>
      </c>
      <c r="C105" s="19">
        <f>EDATE(C104,-Inputs!$G$3)</f>
        <v>43647</v>
      </c>
      <c r="D105" s="18" t="str">
        <f>IF(C105&gt;Inputs!$C$3, "Keep", "Discard")</f>
        <v>Discard</v>
      </c>
    </row>
    <row r="106">
      <c r="B106" s="22">
        <f t="shared" si="1"/>
        <v>103</v>
      </c>
      <c r="C106" s="19">
        <f>EDATE(C105,-Inputs!$G$3)</f>
        <v>43556</v>
      </c>
      <c r="D106" s="18" t="str">
        <f>IF(C106&gt;Inputs!$C$3, "Keep", "Discard")</f>
        <v>Discard</v>
      </c>
    </row>
    <row r="107">
      <c r="B107" s="22">
        <f t="shared" si="1"/>
        <v>104</v>
      </c>
      <c r="C107" s="19">
        <f>EDATE(C106,-Inputs!$G$3)</f>
        <v>43466</v>
      </c>
      <c r="D107" s="18" t="str">
        <f>IF(C107&gt;Inputs!$C$3, "Keep", "Discard")</f>
        <v>Discard</v>
      </c>
    </row>
    <row r="108">
      <c r="B108" s="22">
        <f t="shared" si="1"/>
        <v>105</v>
      </c>
      <c r="C108" s="19">
        <f>EDATE(C107,-Inputs!$G$3)</f>
        <v>43374</v>
      </c>
      <c r="D108" s="18" t="str">
        <f>IF(C108&gt;Inputs!$C$3, "Keep", "Discard")</f>
        <v>Discard</v>
      </c>
    </row>
    <row r="109">
      <c r="B109" s="22">
        <f t="shared" si="1"/>
        <v>106</v>
      </c>
      <c r="C109" s="19">
        <f>EDATE(C108,-Inputs!$G$3)</f>
        <v>43282</v>
      </c>
      <c r="D109" s="18" t="str">
        <f>IF(C109&gt;Inputs!$C$3, "Keep", "Discard")</f>
        <v>Discard</v>
      </c>
    </row>
    <row r="110">
      <c r="B110" s="22">
        <f t="shared" si="1"/>
        <v>107</v>
      </c>
      <c r="C110" s="19">
        <f>EDATE(C109,-Inputs!$G$3)</f>
        <v>43191</v>
      </c>
      <c r="D110" s="18" t="str">
        <f>IF(C110&gt;Inputs!$C$3, "Keep", "Discard")</f>
        <v>Discard</v>
      </c>
    </row>
    <row r="111">
      <c r="B111" s="22">
        <f t="shared" si="1"/>
        <v>108</v>
      </c>
      <c r="C111" s="19">
        <f>EDATE(C110,-Inputs!$G$3)</f>
        <v>43101</v>
      </c>
      <c r="D111" s="18" t="str">
        <f>IF(C111&gt;Inputs!$C$3, "Keep", "Discard")</f>
        <v>Discard</v>
      </c>
    </row>
    <row r="112">
      <c r="B112" s="22">
        <f t="shared" si="1"/>
        <v>109</v>
      </c>
      <c r="C112" s="19">
        <f>EDATE(C111,-Inputs!$G$3)</f>
        <v>43009</v>
      </c>
      <c r="D112" s="18" t="str">
        <f>IF(C112&gt;Inputs!$C$3, "Keep", "Discard")</f>
        <v>Discard</v>
      </c>
    </row>
    <row r="113">
      <c r="B113" s="22">
        <f t="shared" si="1"/>
        <v>110</v>
      </c>
      <c r="C113" s="19">
        <f>EDATE(C112,-Inputs!$G$3)</f>
        <v>42917</v>
      </c>
      <c r="D113" s="18" t="str">
        <f>IF(C113&gt;Inputs!$C$3, "Keep", "Discard")</f>
        <v>Discard</v>
      </c>
    </row>
    <row r="114">
      <c r="B114" s="18"/>
      <c r="C114" s="19"/>
      <c r="D114" s="18"/>
    </row>
    <row r="115">
      <c r="B115" s="18"/>
      <c r="C115" s="19"/>
      <c r="D115" s="18"/>
    </row>
    <row r="116">
      <c r="B116" s="18"/>
      <c r="C116" s="19"/>
      <c r="D116" s="18"/>
    </row>
    <row r="117">
      <c r="B117" s="18"/>
      <c r="C117" s="19"/>
      <c r="D117" s="18"/>
    </row>
    <row r="118">
      <c r="B118" s="18"/>
      <c r="C118" s="19"/>
      <c r="D118" s="18"/>
    </row>
    <row r="119">
      <c r="B119" s="18"/>
      <c r="C119" s="19"/>
      <c r="D119" s="18"/>
    </row>
    <row r="120">
      <c r="B120" s="18"/>
      <c r="C120" s="19"/>
      <c r="D120" s="18"/>
    </row>
    <row r="121">
      <c r="B121" s="18"/>
      <c r="C121" s="19"/>
      <c r="D121" s="18"/>
    </row>
    <row r="122">
      <c r="B122" s="18"/>
      <c r="C122" s="19"/>
      <c r="D122" s="18"/>
    </row>
    <row r="123">
      <c r="B123" s="18"/>
      <c r="C123" s="19"/>
      <c r="D123" s="18"/>
    </row>
    <row r="124">
      <c r="B124" s="18"/>
      <c r="C124" s="19"/>
      <c r="D124" s="18"/>
    </row>
    <row r="125">
      <c r="B125" s="18"/>
      <c r="C125" s="19"/>
      <c r="D125" s="18"/>
    </row>
    <row r="126">
      <c r="B126" s="18"/>
      <c r="C126" s="19"/>
      <c r="D126" s="18"/>
    </row>
    <row r="127">
      <c r="B127" s="18"/>
      <c r="C127" s="19"/>
      <c r="D127" s="18"/>
    </row>
    <row r="128">
      <c r="B128" s="18"/>
      <c r="C128" s="19"/>
      <c r="D128" s="18"/>
    </row>
    <row r="129">
      <c r="B129" s="18"/>
      <c r="C129" s="19"/>
      <c r="D129" s="18"/>
    </row>
    <row r="130">
      <c r="B130" s="18"/>
      <c r="C130" s="19"/>
      <c r="D130" s="18"/>
    </row>
    <row r="131">
      <c r="B131" s="18"/>
      <c r="C131" s="19"/>
      <c r="D131" s="18"/>
    </row>
    <row r="132">
      <c r="B132" s="18"/>
      <c r="C132" s="19"/>
      <c r="D132" s="18"/>
    </row>
    <row r="133">
      <c r="B133" s="18"/>
      <c r="C133" s="19"/>
      <c r="D133" s="18"/>
    </row>
    <row r="134">
      <c r="B134" s="18"/>
      <c r="C134" s="19"/>
      <c r="D134" s="18"/>
    </row>
    <row r="135">
      <c r="B135" s="18"/>
      <c r="C135" s="19"/>
      <c r="D135" s="18"/>
    </row>
    <row r="136">
      <c r="B136" s="18"/>
      <c r="C136" s="19"/>
      <c r="D136" s="18"/>
    </row>
    <row r="137">
      <c r="B137" s="18"/>
      <c r="C137" s="19"/>
      <c r="D137" s="18"/>
    </row>
    <row r="138">
      <c r="B138" s="18"/>
      <c r="C138" s="19"/>
      <c r="D138" s="18"/>
    </row>
    <row r="139">
      <c r="B139" s="18"/>
      <c r="C139" s="19"/>
      <c r="D139" s="18"/>
    </row>
    <row r="140">
      <c r="B140" s="18"/>
      <c r="C140" s="19"/>
      <c r="D140" s="18"/>
    </row>
    <row r="141">
      <c r="B141" s="18"/>
      <c r="C141" s="19"/>
      <c r="D141" s="18"/>
    </row>
    <row r="142">
      <c r="B142" s="18"/>
      <c r="C142" s="19"/>
      <c r="D142" s="18"/>
    </row>
    <row r="143">
      <c r="B143" s="18"/>
      <c r="C143" s="19"/>
      <c r="D143" s="18"/>
    </row>
    <row r="144">
      <c r="B144" s="18"/>
      <c r="C144" s="19"/>
      <c r="D144" s="18"/>
    </row>
    <row r="145">
      <c r="B145" s="18"/>
      <c r="C145" s="19"/>
      <c r="D145" s="18"/>
    </row>
    <row r="146">
      <c r="B146" s="18"/>
      <c r="C146" s="19"/>
      <c r="D146" s="18"/>
    </row>
    <row r="147">
      <c r="B147" s="18"/>
      <c r="C147" s="19"/>
      <c r="D147" s="18"/>
    </row>
    <row r="148">
      <c r="B148" s="18"/>
      <c r="C148" s="19"/>
      <c r="D148" s="18"/>
    </row>
    <row r="149">
      <c r="B149" s="18"/>
      <c r="C149" s="19"/>
      <c r="D149" s="18"/>
    </row>
    <row r="150">
      <c r="B150" s="18"/>
      <c r="C150" s="19"/>
      <c r="D150" s="18"/>
    </row>
    <row r="151">
      <c r="B151" s="18"/>
      <c r="C151" s="19"/>
      <c r="D151" s="18"/>
    </row>
    <row r="152">
      <c r="B152" s="18"/>
      <c r="C152" s="19"/>
      <c r="D152" s="18"/>
    </row>
    <row r="153">
      <c r="B153" s="18"/>
      <c r="C153" s="19"/>
      <c r="D153" s="18"/>
    </row>
    <row r="154">
      <c r="B154" s="18"/>
      <c r="C154" s="19"/>
      <c r="D154" s="18"/>
    </row>
    <row r="155">
      <c r="B155" s="18"/>
      <c r="C155" s="19"/>
      <c r="D155" s="18"/>
    </row>
    <row r="156">
      <c r="B156" s="18"/>
      <c r="C156" s="19"/>
      <c r="D156" s="18"/>
    </row>
    <row r="157">
      <c r="B157" s="18"/>
      <c r="C157" s="19"/>
      <c r="D157" s="18"/>
    </row>
    <row r="158">
      <c r="B158" s="18"/>
      <c r="C158" s="19"/>
      <c r="D158" s="18"/>
    </row>
    <row r="159">
      <c r="B159" s="18"/>
      <c r="C159" s="19"/>
      <c r="D159" s="18"/>
    </row>
    <row r="160">
      <c r="B160" s="18"/>
      <c r="C160" s="19"/>
      <c r="D160" s="18"/>
    </row>
    <row r="161">
      <c r="B161" s="18"/>
      <c r="C161" s="19"/>
      <c r="D161" s="18"/>
    </row>
    <row r="162">
      <c r="B162" s="18"/>
      <c r="C162" s="19"/>
      <c r="D162" s="18"/>
    </row>
    <row r="163">
      <c r="B163" s="18"/>
      <c r="C163" s="19"/>
      <c r="D163" s="18"/>
    </row>
    <row r="164">
      <c r="B164" s="18"/>
      <c r="C164" s="19"/>
      <c r="D164" s="18"/>
    </row>
    <row r="165">
      <c r="B165" s="18"/>
      <c r="C165" s="19"/>
      <c r="D165" s="18"/>
    </row>
    <row r="166">
      <c r="B166" s="18"/>
      <c r="C166" s="19"/>
      <c r="D166" s="18"/>
    </row>
    <row r="167">
      <c r="B167" s="18"/>
      <c r="C167" s="19"/>
      <c r="D167" s="18"/>
    </row>
    <row r="168">
      <c r="B168" s="18"/>
      <c r="C168" s="19"/>
      <c r="D168" s="18"/>
    </row>
    <row r="169">
      <c r="B169" s="18"/>
      <c r="C169" s="19"/>
      <c r="D169" s="18"/>
    </row>
    <row r="170">
      <c r="B170" s="18"/>
      <c r="C170" s="19"/>
      <c r="D170" s="18"/>
    </row>
    <row r="171">
      <c r="B171" s="18"/>
      <c r="C171" s="19"/>
      <c r="D171" s="18"/>
    </row>
    <row r="172">
      <c r="B172" s="18"/>
      <c r="C172" s="19"/>
      <c r="D172" s="18"/>
    </row>
    <row r="173">
      <c r="B173" s="18"/>
      <c r="C173" s="19"/>
      <c r="D173" s="18"/>
    </row>
    <row r="174">
      <c r="B174" s="18"/>
      <c r="C174" s="19"/>
      <c r="D174" s="18"/>
    </row>
    <row r="175">
      <c r="B175" s="18"/>
      <c r="C175" s="19"/>
      <c r="D175" s="18"/>
    </row>
    <row r="176">
      <c r="B176" s="18"/>
      <c r="C176" s="19"/>
      <c r="D176" s="18"/>
    </row>
    <row r="177">
      <c r="B177" s="18"/>
      <c r="C177" s="19"/>
      <c r="D177" s="18"/>
    </row>
    <row r="178">
      <c r="B178" s="18"/>
      <c r="C178" s="19"/>
      <c r="D178" s="18"/>
    </row>
    <row r="179">
      <c r="B179" s="18"/>
      <c r="C179" s="19"/>
      <c r="D179" s="18"/>
    </row>
    <row r="180">
      <c r="B180" s="18"/>
      <c r="C180" s="19"/>
      <c r="D180" s="18"/>
    </row>
    <row r="181">
      <c r="B181" s="18"/>
      <c r="C181" s="19"/>
      <c r="D181" s="18"/>
    </row>
    <row r="182">
      <c r="B182" s="18"/>
      <c r="C182" s="19"/>
      <c r="D182" s="18"/>
    </row>
    <row r="183">
      <c r="B183" s="18"/>
      <c r="C183" s="19"/>
      <c r="D183" s="18"/>
    </row>
    <row r="184">
      <c r="B184" s="18"/>
      <c r="C184" s="19"/>
      <c r="D184" s="18"/>
    </row>
    <row r="185">
      <c r="B185" s="18"/>
      <c r="C185" s="19"/>
      <c r="D185" s="18"/>
    </row>
    <row r="186">
      <c r="B186" s="18"/>
      <c r="C186" s="19"/>
      <c r="D186" s="18"/>
    </row>
    <row r="187">
      <c r="B187" s="18"/>
      <c r="C187" s="19"/>
      <c r="D187" s="18"/>
    </row>
    <row r="188">
      <c r="B188" s="18"/>
      <c r="C188" s="19"/>
      <c r="D188" s="18"/>
    </row>
    <row r="189">
      <c r="B189" s="18"/>
      <c r="C189" s="19"/>
      <c r="D189" s="18"/>
    </row>
    <row r="190">
      <c r="B190" s="18"/>
      <c r="C190" s="19"/>
      <c r="D190" s="18"/>
    </row>
    <row r="191">
      <c r="B191" s="18"/>
      <c r="C191" s="19"/>
      <c r="D191" s="18"/>
    </row>
    <row r="192">
      <c r="B192" s="18"/>
      <c r="C192" s="19"/>
      <c r="D192" s="18"/>
    </row>
    <row r="193">
      <c r="B193" s="18"/>
      <c r="C193" s="19"/>
      <c r="D193" s="18"/>
    </row>
    <row r="194">
      <c r="B194" s="18"/>
      <c r="C194" s="19"/>
      <c r="D194" s="18"/>
    </row>
    <row r="195">
      <c r="B195" s="18"/>
      <c r="C195" s="19"/>
      <c r="D195" s="18"/>
    </row>
    <row r="196">
      <c r="B196" s="18"/>
      <c r="C196" s="19"/>
      <c r="D196" s="18"/>
    </row>
    <row r="197">
      <c r="B197" s="18"/>
      <c r="C197" s="19"/>
      <c r="D197" s="18"/>
    </row>
    <row r="198">
      <c r="B198" s="18"/>
      <c r="C198" s="19"/>
      <c r="D198" s="18"/>
    </row>
    <row r="199">
      <c r="B199" s="18"/>
      <c r="C199" s="19"/>
      <c r="D199" s="18"/>
    </row>
    <row r="200">
      <c r="B200" s="18"/>
      <c r="C200" s="19"/>
      <c r="D200" s="18"/>
    </row>
    <row r="201">
      <c r="B201" s="18"/>
      <c r="C201" s="19"/>
      <c r="D201" s="18"/>
    </row>
    <row r="202">
      <c r="B202" s="18"/>
      <c r="C202" s="19"/>
      <c r="D202" s="18"/>
    </row>
    <row r="203">
      <c r="B203" s="18"/>
      <c r="C203" s="19"/>
      <c r="D203" s="18"/>
    </row>
    <row r="204">
      <c r="B204" s="18"/>
      <c r="C204" s="19"/>
      <c r="D204" s="18"/>
    </row>
    <row r="205">
      <c r="B205" s="18"/>
      <c r="C205" s="19"/>
      <c r="D205" s="18"/>
    </row>
    <row r="206">
      <c r="B206" s="18"/>
      <c r="C206" s="19"/>
      <c r="D206" s="18"/>
    </row>
    <row r="207">
      <c r="B207" s="18"/>
      <c r="C207" s="19"/>
      <c r="D207" s="18"/>
    </row>
    <row r="208">
      <c r="B208" s="18"/>
      <c r="C208" s="19"/>
      <c r="D208" s="18"/>
    </row>
    <row r="209">
      <c r="B209" s="18"/>
      <c r="C209" s="19"/>
      <c r="D209" s="18"/>
    </row>
    <row r="210">
      <c r="B210" s="18"/>
      <c r="C210" s="19"/>
      <c r="D210" s="18"/>
    </row>
    <row r="211">
      <c r="B211" s="18"/>
      <c r="C211" s="19"/>
      <c r="D211" s="18"/>
    </row>
    <row r="212">
      <c r="B212" s="18"/>
      <c r="C212" s="19"/>
      <c r="D212" s="18"/>
    </row>
    <row r="213">
      <c r="B213" s="18"/>
      <c r="C213" s="19"/>
      <c r="D213" s="18"/>
    </row>
    <row r="214">
      <c r="B214" s="18"/>
      <c r="C214" s="19"/>
      <c r="D214" s="18"/>
    </row>
    <row r="215">
      <c r="B215" s="18"/>
      <c r="C215" s="19"/>
      <c r="D215" s="18"/>
    </row>
    <row r="216">
      <c r="B216" s="18"/>
      <c r="C216" s="19"/>
      <c r="D216" s="18"/>
    </row>
    <row r="217">
      <c r="B217" s="18"/>
      <c r="C217" s="19"/>
      <c r="D217" s="18"/>
    </row>
    <row r="218">
      <c r="B218" s="18"/>
      <c r="C218" s="19"/>
      <c r="D218" s="18"/>
    </row>
    <row r="219">
      <c r="B219" s="18"/>
      <c r="C219" s="19"/>
      <c r="D219" s="18"/>
    </row>
    <row r="220">
      <c r="B220" s="18"/>
      <c r="C220" s="19"/>
      <c r="D220" s="18"/>
    </row>
    <row r="221">
      <c r="B221" s="18"/>
      <c r="C221" s="19"/>
      <c r="D221" s="18"/>
    </row>
    <row r="222">
      <c r="B222" s="18"/>
      <c r="C222" s="19"/>
      <c r="D222" s="18"/>
    </row>
    <row r="223">
      <c r="B223" s="18"/>
      <c r="C223" s="19"/>
      <c r="D223" s="18"/>
    </row>
    <row r="224">
      <c r="B224" s="18"/>
      <c r="C224" s="19"/>
      <c r="D224" s="18"/>
    </row>
    <row r="225">
      <c r="B225" s="18"/>
      <c r="C225" s="19"/>
      <c r="D225" s="18"/>
    </row>
    <row r="226">
      <c r="B226" s="18"/>
      <c r="C226" s="19"/>
      <c r="D226" s="18"/>
    </row>
    <row r="227">
      <c r="B227" s="18"/>
      <c r="C227" s="19"/>
      <c r="D227" s="18"/>
    </row>
    <row r="228">
      <c r="B228" s="18"/>
      <c r="C228" s="19"/>
      <c r="D228" s="18"/>
    </row>
    <row r="229">
      <c r="B229" s="18"/>
      <c r="C229" s="19"/>
      <c r="D229" s="18"/>
    </row>
    <row r="230">
      <c r="B230" s="18"/>
      <c r="C230" s="19"/>
      <c r="D230" s="18"/>
    </row>
    <row r="231">
      <c r="B231" s="18"/>
      <c r="C231" s="19"/>
      <c r="D231" s="18"/>
    </row>
    <row r="232">
      <c r="B232" s="18"/>
      <c r="C232" s="19"/>
      <c r="D232" s="18"/>
    </row>
    <row r="233">
      <c r="B233" s="18"/>
      <c r="C233" s="19"/>
      <c r="D233" s="18"/>
    </row>
    <row r="234">
      <c r="B234" s="18"/>
      <c r="C234" s="19"/>
      <c r="D234" s="18"/>
    </row>
    <row r="235">
      <c r="B235" s="18"/>
      <c r="C235" s="19"/>
      <c r="D235" s="18"/>
    </row>
    <row r="236">
      <c r="B236" s="18"/>
      <c r="C236" s="19"/>
      <c r="D236" s="18"/>
    </row>
    <row r="237">
      <c r="B237" s="18"/>
      <c r="C237" s="19"/>
      <c r="D237" s="18"/>
    </row>
    <row r="238">
      <c r="B238" s="18"/>
      <c r="C238" s="19"/>
      <c r="D238" s="18"/>
    </row>
    <row r="239">
      <c r="B239" s="18"/>
      <c r="C239" s="19"/>
      <c r="D239" s="18"/>
    </row>
    <row r="240">
      <c r="B240" s="18"/>
      <c r="C240" s="19"/>
      <c r="D240" s="18"/>
    </row>
    <row r="241">
      <c r="B241" s="18"/>
      <c r="C241" s="19"/>
      <c r="D241" s="18"/>
    </row>
    <row r="242">
      <c r="B242" s="18"/>
      <c r="C242" s="19"/>
      <c r="D242" s="18"/>
    </row>
    <row r="243">
      <c r="B243" s="18"/>
      <c r="C243" s="19"/>
      <c r="D243" s="18"/>
    </row>
    <row r="244">
      <c r="B244" s="18"/>
      <c r="C244" s="19"/>
      <c r="D244" s="18"/>
    </row>
    <row r="245">
      <c r="B245" s="18"/>
      <c r="C245" s="19"/>
      <c r="D245" s="18"/>
    </row>
    <row r="246">
      <c r="B246" s="18"/>
      <c r="C246" s="19"/>
      <c r="D246" s="18"/>
    </row>
    <row r="247">
      <c r="B247" s="18"/>
      <c r="C247" s="19"/>
      <c r="D247" s="18"/>
    </row>
    <row r="248">
      <c r="B248" s="18"/>
      <c r="C248" s="19"/>
      <c r="D248" s="18"/>
    </row>
    <row r="249">
      <c r="B249" s="18"/>
      <c r="C249" s="19"/>
      <c r="D249" s="18"/>
    </row>
    <row r="250">
      <c r="B250" s="18"/>
      <c r="C250" s="19"/>
      <c r="D250" s="18"/>
    </row>
    <row r="251">
      <c r="B251" s="18"/>
      <c r="C251" s="19"/>
      <c r="D251" s="18"/>
    </row>
    <row r="252">
      <c r="B252" s="18"/>
      <c r="C252" s="19"/>
      <c r="D252" s="18"/>
    </row>
    <row r="253">
      <c r="B253" s="18"/>
      <c r="C253" s="19"/>
      <c r="D253" s="18"/>
    </row>
    <row r="254">
      <c r="B254" s="18"/>
      <c r="C254" s="19"/>
      <c r="D254" s="18"/>
    </row>
    <row r="255">
      <c r="B255" s="18"/>
      <c r="C255" s="19"/>
      <c r="D255" s="18"/>
    </row>
    <row r="256">
      <c r="B256" s="18"/>
      <c r="C256" s="19"/>
      <c r="D256" s="18"/>
    </row>
    <row r="257">
      <c r="B257" s="18"/>
      <c r="C257" s="19"/>
      <c r="D257" s="18"/>
    </row>
    <row r="258">
      <c r="B258" s="18"/>
      <c r="C258" s="19"/>
      <c r="D258" s="18"/>
    </row>
    <row r="259">
      <c r="B259" s="18"/>
      <c r="C259" s="19"/>
      <c r="D259" s="18"/>
    </row>
    <row r="260">
      <c r="B260" s="18"/>
      <c r="C260" s="19"/>
      <c r="D260" s="18"/>
    </row>
    <row r="261">
      <c r="B261" s="18"/>
      <c r="C261" s="19"/>
      <c r="D261" s="18"/>
    </row>
    <row r="262">
      <c r="B262" s="18"/>
      <c r="C262" s="19"/>
      <c r="D262" s="18"/>
    </row>
    <row r="263">
      <c r="B263" s="18"/>
      <c r="C263" s="19"/>
      <c r="D263" s="18"/>
    </row>
    <row r="264">
      <c r="B264" s="18"/>
      <c r="C264" s="19"/>
      <c r="D264" s="18"/>
    </row>
    <row r="265">
      <c r="B265" s="18"/>
      <c r="C265" s="19"/>
      <c r="D265" s="18"/>
    </row>
    <row r="266">
      <c r="B266" s="18"/>
      <c r="C266" s="19"/>
      <c r="D266" s="18"/>
    </row>
    <row r="267">
      <c r="B267" s="18"/>
      <c r="C267" s="19"/>
      <c r="D267" s="18"/>
    </row>
    <row r="268">
      <c r="B268" s="18"/>
      <c r="C268" s="19"/>
      <c r="D268" s="18"/>
    </row>
    <row r="269">
      <c r="B269" s="18"/>
      <c r="C269" s="19"/>
      <c r="D269" s="18"/>
    </row>
    <row r="270">
      <c r="B270" s="18"/>
      <c r="C270" s="19"/>
      <c r="D270" s="18"/>
    </row>
    <row r="271">
      <c r="B271" s="18"/>
      <c r="C271" s="19"/>
      <c r="D271" s="18"/>
    </row>
    <row r="272">
      <c r="B272" s="18"/>
      <c r="C272" s="19"/>
      <c r="D272" s="18"/>
    </row>
    <row r="273">
      <c r="B273" s="18"/>
      <c r="C273" s="19"/>
      <c r="D273" s="18"/>
    </row>
    <row r="274">
      <c r="B274" s="18"/>
      <c r="C274" s="19"/>
      <c r="D274" s="18"/>
    </row>
    <row r="275">
      <c r="B275" s="18"/>
      <c r="C275" s="19"/>
      <c r="D275" s="18"/>
    </row>
    <row r="276">
      <c r="B276" s="18"/>
      <c r="C276" s="19"/>
      <c r="D276" s="18"/>
    </row>
    <row r="277">
      <c r="B277" s="18"/>
      <c r="C277" s="19"/>
      <c r="D277" s="18"/>
    </row>
    <row r="278">
      <c r="B278" s="18"/>
      <c r="C278" s="19"/>
      <c r="D278" s="18"/>
    </row>
    <row r="279">
      <c r="B279" s="18"/>
      <c r="C279" s="19"/>
      <c r="D279" s="18"/>
    </row>
    <row r="280">
      <c r="B280" s="18"/>
      <c r="C280" s="19"/>
      <c r="D280" s="18"/>
    </row>
    <row r="281">
      <c r="B281" s="18"/>
      <c r="C281" s="19"/>
      <c r="D281" s="18"/>
    </row>
    <row r="282">
      <c r="B282" s="18"/>
      <c r="C282" s="19"/>
      <c r="D282" s="18"/>
    </row>
    <row r="283">
      <c r="B283" s="18"/>
      <c r="C283" s="19"/>
      <c r="D283" s="18"/>
    </row>
    <row r="284">
      <c r="B284" s="18"/>
      <c r="C284" s="19"/>
      <c r="D284" s="18"/>
    </row>
    <row r="285">
      <c r="B285" s="18"/>
      <c r="C285" s="19"/>
      <c r="D285" s="18"/>
    </row>
    <row r="286">
      <c r="B286" s="18"/>
      <c r="C286" s="19"/>
      <c r="D286" s="18"/>
    </row>
    <row r="287">
      <c r="B287" s="18"/>
      <c r="C287" s="19"/>
      <c r="D287" s="18"/>
    </row>
    <row r="288">
      <c r="B288" s="18"/>
      <c r="C288" s="19"/>
      <c r="D288" s="18"/>
    </row>
    <row r="289">
      <c r="B289" s="18"/>
      <c r="C289" s="19"/>
      <c r="D289" s="18"/>
    </row>
    <row r="290">
      <c r="B290" s="18"/>
      <c r="C290" s="19"/>
      <c r="D290" s="18"/>
    </row>
    <row r="291">
      <c r="B291" s="18"/>
      <c r="C291" s="19"/>
      <c r="D291" s="18"/>
    </row>
    <row r="292">
      <c r="B292" s="18"/>
      <c r="C292" s="19"/>
      <c r="D292" s="18"/>
    </row>
    <row r="293">
      <c r="B293" s="18"/>
      <c r="C293" s="19"/>
      <c r="D293" s="18"/>
    </row>
    <row r="294">
      <c r="B294" s="18"/>
      <c r="C294" s="19"/>
      <c r="D294" s="18"/>
    </row>
    <row r="295">
      <c r="B295" s="18"/>
      <c r="C295" s="19"/>
      <c r="D295" s="18"/>
    </row>
    <row r="296">
      <c r="B296" s="18"/>
      <c r="C296" s="19"/>
      <c r="D296" s="18"/>
    </row>
    <row r="297">
      <c r="B297" s="18"/>
      <c r="C297" s="19"/>
      <c r="D297" s="18"/>
    </row>
    <row r="298">
      <c r="B298" s="18"/>
      <c r="C298" s="19"/>
      <c r="D298" s="18"/>
    </row>
    <row r="299">
      <c r="B299" s="18"/>
      <c r="C299" s="19"/>
      <c r="D299" s="18"/>
    </row>
    <row r="300">
      <c r="B300" s="18"/>
      <c r="C300" s="19"/>
      <c r="D300" s="18"/>
    </row>
    <row r="301">
      <c r="B301" s="18"/>
      <c r="C301" s="19"/>
      <c r="D301" s="18"/>
    </row>
    <row r="302">
      <c r="B302" s="18"/>
      <c r="C302" s="19"/>
      <c r="D302" s="18"/>
    </row>
    <row r="303">
      <c r="B303" s="18"/>
      <c r="C303" s="19"/>
      <c r="D303" s="18"/>
    </row>
    <row r="304">
      <c r="B304" s="18"/>
      <c r="C304" s="19"/>
      <c r="D304" s="18"/>
    </row>
    <row r="305">
      <c r="B305" s="18"/>
      <c r="C305" s="19"/>
      <c r="D305" s="18"/>
    </row>
    <row r="306">
      <c r="B306" s="18"/>
      <c r="C306" s="19"/>
      <c r="D306" s="18"/>
    </row>
    <row r="307">
      <c r="B307" s="18"/>
      <c r="C307" s="19"/>
      <c r="D307" s="18"/>
    </row>
    <row r="308">
      <c r="B308" s="18"/>
      <c r="C308" s="19"/>
      <c r="D308" s="18"/>
    </row>
    <row r="309">
      <c r="B309" s="18"/>
      <c r="C309" s="19"/>
      <c r="D309" s="18"/>
    </row>
    <row r="310">
      <c r="B310" s="18"/>
      <c r="C310" s="19"/>
      <c r="D310" s="18"/>
    </row>
    <row r="311">
      <c r="B311" s="18"/>
      <c r="C311" s="19"/>
      <c r="D311" s="18"/>
    </row>
    <row r="312">
      <c r="B312" s="18"/>
      <c r="C312" s="19"/>
      <c r="D312" s="18"/>
    </row>
    <row r="313">
      <c r="B313" s="18"/>
      <c r="C313" s="19"/>
      <c r="D313" s="18"/>
    </row>
    <row r="314">
      <c r="B314" s="18"/>
      <c r="C314" s="19"/>
      <c r="D314" s="18"/>
    </row>
    <row r="315">
      <c r="B315" s="18"/>
      <c r="C315" s="19"/>
      <c r="D315" s="18"/>
    </row>
    <row r="316">
      <c r="B316" s="18"/>
      <c r="C316" s="19"/>
      <c r="D316" s="18"/>
    </row>
    <row r="317">
      <c r="B317" s="18"/>
      <c r="C317" s="19"/>
      <c r="D317" s="18"/>
    </row>
    <row r="318">
      <c r="B318" s="18"/>
      <c r="C318" s="19"/>
      <c r="D318" s="18"/>
    </row>
    <row r="319">
      <c r="B319" s="18"/>
      <c r="C319" s="19"/>
      <c r="D319" s="18"/>
    </row>
    <row r="320">
      <c r="B320" s="18"/>
      <c r="C320" s="19"/>
      <c r="D320" s="18"/>
    </row>
    <row r="321">
      <c r="B321" s="18"/>
      <c r="C321" s="19"/>
      <c r="D321" s="18"/>
    </row>
    <row r="322">
      <c r="B322" s="18"/>
      <c r="C322" s="19"/>
      <c r="D322" s="18"/>
    </row>
    <row r="323">
      <c r="B323" s="18"/>
      <c r="C323" s="19"/>
      <c r="D323" s="18"/>
    </row>
    <row r="324">
      <c r="B324" s="18"/>
      <c r="C324" s="19"/>
      <c r="D324" s="18"/>
    </row>
    <row r="325">
      <c r="B325" s="18"/>
      <c r="C325" s="19"/>
      <c r="D325" s="18"/>
    </row>
    <row r="326">
      <c r="B326" s="18"/>
      <c r="C326" s="19"/>
      <c r="D326" s="18"/>
    </row>
    <row r="327">
      <c r="B327" s="18"/>
      <c r="C327" s="19"/>
      <c r="D327" s="18"/>
    </row>
    <row r="328">
      <c r="B328" s="18"/>
      <c r="C328" s="19"/>
      <c r="D328" s="18"/>
    </row>
    <row r="329">
      <c r="B329" s="18"/>
      <c r="C329" s="19"/>
      <c r="D329" s="18"/>
    </row>
    <row r="330">
      <c r="B330" s="18"/>
      <c r="C330" s="19"/>
      <c r="D330" s="18"/>
    </row>
    <row r="331">
      <c r="B331" s="18"/>
      <c r="C331" s="19"/>
      <c r="D331" s="18"/>
    </row>
    <row r="332">
      <c r="B332" s="18"/>
      <c r="C332" s="19"/>
      <c r="D332" s="18"/>
    </row>
    <row r="333">
      <c r="B333" s="18"/>
      <c r="C333" s="19"/>
      <c r="D333" s="18"/>
    </row>
    <row r="334">
      <c r="B334" s="18"/>
      <c r="C334" s="19"/>
      <c r="D334" s="18"/>
    </row>
    <row r="335">
      <c r="B335" s="18"/>
      <c r="C335" s="19"/>
      <c r="D335" s="18"/>
    </row>
    <row r="336">
      <c r="B336" s="18"/>
      <c r="C336" s="19"/>
      <c r="D336" s="18"/>
    </row>
    <row r="337">
      <c r="B337" s="18"/>
      <c r="C337" s="19"/>
      <c r="D337" s="18"/>
    </row>
    <row r="338">
      <c r="B338" s="18"/>
      <c r="C338" s="19"/>
      <c r="D338" s="18"/>
    </row>
    <row r="339">
      <c r="B339" s="18"/>
      <c r="C339" s="19"/>
      <c r="D339" s="18"/>
    </row>
    <row r="340">
      <c r="B340" s="18"/>
      <c r="C340" s="19"/>
      <c r="D340" s="18"/>
    </row>
    <row r="341">
      <c r="B341" s="18"/>
      <c r="C341" s="19"/>
      <c r="D341" s="18"/>
    </row>
    <row r="342">
      <c r="B342" s="18"/>
      <c r="C342" s="19"/>
      <c r="D342" s="18"/>
    </row>
    <row r="343">
      <c r="B343" s="18"/>
      <c r="C343" s="19"/>
      <c r="D343" s="18"/>
    </row>
    <row r="344">
      <c r="B344" s="18"/>
      <c r="C344" s="19"/>
      <c r="D344" s="18"/>
    </row>
    <row r="345">
      <c r="B345" s="18"/>
      <c r="C345" s="19"/>
      <c r="D345" s="18"/>
    </row>
    <row r="346">
      <c r="B346" s="18"/>
      <c r="C346" s="19"/>
      <c r="D346" s="18"/>
    </row>
    <row r="347">
      <c r="B347" s="18"/>
      <c r="C347" s="19"/>
      <c r="D347" s="18"/>
    </row>
    <row r="348">
      <c r="B348" s="18"/>
      <c r="C348" s="19"/>
      <c r="D348" s="18"/>
    </row>
    <row r="349">
      <c r="B349" s="18"/>
      <c r="C349" s="19"/>
      <c r="D349" s="18"/>
    </row>
    <row r="350">
      <c r="B350" s="18"/>
      <c r="C350" s="19"/>
      <c r="D350" s="18"/>
    </row>
    <row r="351">
      <c r="B351" s="18"/>
      <c r="C351" s="19"/>
      <c r="D351" s="18"/>
    </row>
    <row r="352">
      <c r="B352" s="18"/>
      <c r="C352" s="19"/>
      <c r="D352" s="18"/>
    </row>
    <row r="353">
      <c r="B353" s="18"/>
      <c r="C353" s="19"/>
      <c r="D353" s="18"/>
    </row>
    <row r="354">
      <c r="B354" s="18"/>
      <c r="C354" s="19"/>
      <c r="D354" s="18"/>
    </row>
    <row r="355">
      <c r="B355" s="18"/>
      <c r="C355" s="19"/>
      <c r="D355" s="18"/>
    </row>
    <row r="356">
      <c r="B356" s="18"/>
      <c r="C356" s="19"/>
      <c r="D356" s="18"/>
    </row>
    <row r="357">
      <c r="B357" s="18"/>
      <c r="C357" s="19"/>
      <c r="D357" s="18"/>
    </row>
    <row r="358">
      <c r="B358" s="18"/>
      <c r="C358" s="19"/>
      <c r="D358" s="18"/>
    </row>
    <row r="359">
      <c r="B359" s="18"/>
      <c r="C359" s="19"/>
      <c r="D359" s="18"/>
    </row>
    <row r="360">
      <c r="B360" s="18"/>
      <c r="C360" s="19"/>
      <c r="D360" s="18"/>
    </row>
    <row r="361">
      <c r="B361" s="18"/>
      <c r="C361" s="19"/>
      <c r="D361" s="18"/>
    </row>
    <row r="362">
      <c r="B362" s="18"/>
      <c r="C362" s="19"/>
      <c r="D362" s="18"/>
    </row>
    <row r="363">
      <c r="B363" s="18"/>
      <c r="C363" s="19"/>
      <c r="D363" s="18"/>
    </row>
    <row r="364">
      <c r="B364" s="18"/>
      <c r="C364" s="19"/>
      <c r="D364" s="18"/>
    </row>
    <row r="365">
      <c r="B365" s="18"/>
      <c r="C365" s="19"/>
      <c r="D365" s="18"/>
    </row>
    <row r="366">
      <c r="B366" s="18"/>
      <c r="C366" s="19"/>
      <c r="D366" s="18"/>
    </row>
    <row r="367">
      <c r="B367" s="18"/>
      <c r="C367" s="19"/>
      <c r="D367" s="18"/>
    </row>
    <row r="368">
      <c r="B368" s="18"/>
      <c r="C368" s="19"/>
      <c r="D368" s="18"/>
    </row>
    <row r="369">
      <c r="B369" s="18"/>
      <c r="C369" s="19"/>
      <c r="D369" s="18"/>
    </row>
    <row r="370">
      <c r="B370" s="18"/>
      <c r="C370" s="19"/>
      <c r="D370" s="18"/>
    </row>
    <row r="371">
      <c r="B371" s="18"/>
      <c r="C371" s="19"/>
      <c r="D371" s="18"/>
    </row>
    <row r="372">
      <c r="B372" s="18"/>
      <c r="C372" s="19"/>
      <c r="D372" s="18"/>
    </row>
    <row r="373">
      <c r="B373" s="18"/>
      <c r="C373" s="19"/>
      <c r="D373" s="18"/>
    </row>
    <row r="374">
      <c r="B374" s="18"/>
      <c r="C374" s="19"/>
      <c r="D374" s="18"/>
    </row>
    <row r="375">
      <c r="B375" s="18"/>
      <c r="C375" s="19"/>
      <c r="D375" s="18"/>
    </row>
    <row r="376">
      <c r="B376" s="18"/>
      <c r="C376" s="19"/>
      <c r="D376" s="18"/>
    </row>
    <row r="377">
      <c r="B377" s="18"/>
      <c r="C377" s="19"/>
      <c r="D377" s="18"/>
    </row>
    <row r="378">
      <c r="B378" s="18"/>
      <c r="C378" s="19"/>
      <c r="D378" s="18"/>
    </row>
    <row r="379">
      <c r="B379" s="18"/>
      <c r="C379" s="19"/>
      <c r="D379" s="18"/>
    </row>
    <row r="380">
      <c r="B380" s="18"/>
      <c r="C380" s="19"/>
      <c r="D380" s="18"/>
    </row>
    <row r="381">
      <c r="B381" s="18"/>
      <c r="C381" s="19"/>
      <c r="D381" s="18"/>
    </row>
    <row r="382">
      <c r="B382" s="18"/>
      <c r="C382" s="19"/>
      <c r="D382" s="18"/>
    </row>
    <row r="383">
      <c r="B383" s="18"/>
      <c r="C383" s="19"/>
      <c r="D383" s="18"/>
    </row>
    <row r="384">
      <c r="B384" s="18"/>
      <c r="C384" s="19"/>
      <c r="D384" s="18"/>
    </row>
    <row r="385">
      <c r="B385" s="18"/>
      <c r="C385" s="19"/>
      <c r="D385" s="18"/>
    </row>
    <row r="386">
      <c r="B386" s="18"/>
      <c r="C386" s="19"/>
      <c r="D386" s="18"/>
    </row>
    <row r="387">
      <c r="B387" s="18"/>
      <c r="C387" s="19"/>
      <c r="D387" s="18"/>
    </row>
    <row r="388">
      <c r="B388" s="18"/>
      <c r="C388" s="19"/>
      <c r="D388" s="18"/>
    </row>
    <row r="389">
      <c r="B389" s="18"/>
      <c r="C389" s="19"/>
      <c r="D389" s="18"/>
    </row>
    <row r="390">
      <c r="B390" s="18"/>
      <c r="C390" s="19"/>
      <c r="D390" s="18"/>
    </row>
    <row r="391">
      <c r="B391" s="18"/>
      <c r="C391" s="19"/>
      <c r="D391" s="18"/>
    </row>
    <row r="392">
      <c r="B392" s="18"/>
      <c r="C392" s="19"/>
      <c r="D392" s="18"/>
    </row>
    <row r="393">
      <c r="B393" s="18"/>
      <c r="C393" s="19"/>
      <c r="D393" s="18"/>
    </row>
    <row r="394">
      <c r="B394" s="18"/>
      <c r="C394" s="19"/>
      <c r="D394" s="18"/>
    </row>
    <row r="395">
      <c r="B395" s="18"/>
      <c r="C395" s="19"/>
      <c r="D395" s="18"/>
    </row>
    <row r="396">
      <c r="B396" s="18"/>
      <c r="C396" s="19"/>
      <c r="D396" s="18"/>
    </row>
    <row r="397">
      <c r="B397" s="18"/>
      <c r="C397" s="19"/>
      <c r="D397" s="18"/>
    </row>
    <row r="398">
      <c r="B398" s="18"/>
      <c r="C398" s="19"/>
      <c r="D398" s="18"/>
    </row>
    <row r="399">
      <c r="B399" s="18"/>
      <c r="C399" s="19"/>
      <c r="D399" s="18"/>
    </row>
    <row r="400">
      <c r="B400" s="18"/>
      <c r="C400" s="19"/>
      <c r="D400" s="18"/>
    </row>
    <row r="401">
      <c r="B401" s="18"/>
      <c r="C401" s="19"/>
      <c r="D401" s="18"/>
    </row>
    <row r="402">
      <c r="B402" s="18"/>
      <c r="C402" s="19"/>
      <c r="D402" s="18"/>
    </row>
    <row r="403">
      <c r="B403" s="18"/>
      <c r="C403" s="19"/>
      <c r="D403" s="18"/>
    </row>
    <row r="404">
      <c r="B404" s="18"/>
      <c r="C404" s="19"/>
      <c r="D404" s="18"/>
    </row>
    <row r="405">
      <c r="B405" s="18"/>
      <c r="C405" s="19"/>
      <c r="D405" s="18"/>
    </row>
    <row r="406">
      <c r="B406" s="18"/>
      <c r="C406" s="19"/>
      <c r="D406" s="18"/>
    </row>
    <row r="407">
      <c r="B407" s="18"/>
      <c r="C407" s="19"/>
      <c r="D407" s="18"/>
    </row>
    <row r="408">
      <c r="B408" s="18"/>
      <c r="C408" s="19"/>
      <c r="D408" s="18"/>
    </row>
    <row r="409">
      <c r="B409" s="18"/>
      <c r="C409" s="19"/>
      <c r="D409" s="18"/>
    </row>
    <row r="410">
      <c r="B410" s="18"/>
      <c r="C410" s="19"/>
      <c r="D410" s="18"/>
    </row>
    <row r="411">
      <c r="B411" s="18"/>
      <c r="C411" s="19"/>
      <c r="D411" s="18"/>
    </row>
    <row r="412">
      <c r="B412" s="18"/>
      <c r="C412" s="19"/>
      <c r="D412" s="18"/>
    </row>
    <row r="413">
      <c r="B413" s="18"/>
      <c r="C413" s="19"/>
      <c r="D413" s="18"/>
    </row>
    <row r="414">
      <c r="B414" s="18"/>
      <c r="C414" s="19"/>
      <c r="D414" s="18"/>
    </row>
    <row r="415">
      <c r="B415" s="18"/>
      <c r="C415" s="19"/>
      <c r="D415" s="18"/>
    </row>
    <row r="416">
      <c r="B416" s="18"/>
      <c r="C416" s="19"/>
      <c r="D416" s="18"/>
    </row>
    <row r="417">
      <c r="B417" s="18"/>
      <c r="C417" s="19"/>
      <c r="D417" s="18"/>
    </row>
    <row r="418">
      <c r="B418" s="18"/>
      <c r="C418" s="19"/>
      <c r="D418" s="18"/>
    </row>
    <row r="419">
      <c r="B419" s="18"/>
      <c r="C419" s="19"/>
      <c r="D419" s="18"/>
    </row>
    <row r="420">
      <c r="B420" s="18"/>
      <c r="C420" s="19"/>
      <c r="D420" s="18"/>
    </row>
    <row r="421">
      <c r="B421" s="18"/>
      <c r="C421" s="19"/>
      <c r="D421" s="18"/>
    </row>
    <row r="422">
      <c r="B422" s="18"/>
      <c r="C422" s="19"/>
      <c r="D422" s="18"/>
    </row>
    <row r="423">
      <c r="B423" s="18"/>
      <c r="C423" s="19"/>
      <c r="D423" s="18"/>
    </row>
    <row r="424">
      <c r="B424" s="18"/>
      <c r="C424" s="19"/>
      <c r="D424" s="18"/>
    </row>
    <row r="425">
      <c r="B425" s="18"/>
      <c r="C425" s="19"/>
      <c r="D425" s="18"/>
    </row>
    <row r="426">
      <c r="B426" s="18"/>
      <c r="C426" s="19"/>
      <c r="D426" s="18"/>
    </row>
    <row r="427">
      <c r="B427" s="18"/>
      <c r="C427" s="19"/>
      <c r="D427" s="18"/>
    </row>
    <row r="428">
      <c r="B428" s="18"/>
      <c r="C428" s="19"/>
      <c r="D428" s="18"/>
    </row>
    <row r="429">
      <c r="B429" s="18"/>
      <c r="C429" s="19"/>
      <c r="D429" s="18"/>
    </row>
    <row r="430">
      <c r="B430" s="18"/>
      <c r="C430" s="19"/>
      <c r="D430" s="18"/>
    </row>
    <row r="431">
      <c r="B431" s="18"/>
      <c r="C431" s="19"/>
      <c r="D431" s="18"/>
    </row>
    <row r="432">
      <c r="B432" s="18"/>
      <c r="C432" s="19"/>
      <c r="D432" s="18"/>
    </row>
    <row r="433">
      <c r="B433" s="18"/>
      <c r="C433" s="19"/>
      <c r="D433" s="18"/>
    </row>
    <row r="434">
      <c r="B434" s="18"/>
      <c r="C434" s="19"/>
      <c r="D434" s="18"/>
    </row>
    <row r="435">
      <c r="B435" s="18"/>
      <c r="C435" s="19"/>
      <c r="D435" s="18"/>
    </row>
    <row r="436">
      <c r="B436" s="18"/>
      <c r="C436" s="19"/>
      <c r="D436" s="18"/>
    </row>
    <row r="437">
      <c r="B437" s="18"/>
      <c r="C437" s="19"/>
      <c r="D437" s="18"/>
    </row>
    <row r="438">
      <c r="B438" s="18"/>
      <c r="C438" s="19"/>
      <c r="D438" s="18"/>
    </row>
    <row r="439">
      <c r="B439" s="18"/>
      <c r="C439" s="19"/>
      <c r="D439" s="18"/>
    </row>
    <row r="440">
      <c r="B440" s="18"/>
      <c r="C440" s="19"/>
      <c r="D440" s="18"/>
    </row>
    <row r="441">
      <c r="B441" s="18"/>
      <c r="C441" s="19"/>
      <c r="D441" s="18"/>
    </row>
    <row r="442">
      <c r="B442" s="18"/>
      <c r="C442" s="19"/>
      <c r="D442" s="18"/>
    </row>
    <row r="443">
      <c r="B443" s="18"/>
      <c r="C443" s="19"/>
      <c r="D443" s="18"/>
    </row>
    <row r="444">
      <c r="B444" s="18"/>
      <c r="C444" s="19"/>
      <c r="D444" s="18"/>
    </row>
    <row r="445">
      <c r="B445" s="18"/>
      <c r="C445" s="19"/>
      <c r="D445" s="18"/>
    </row>
    <row r="446">
      <c r="B446" s="18"/>
      <c r="C446" s="19"/>
      <c r="D446" s="18"/>
    </row>
    <row r="447">
      <c r="B447" s="18"/>
      <c r="C447" s="19"/>
      <c r="D447" s="18"/>
    </row>
    <row r="448">
      <c r="B448" s="18"/>
      <c r="C448" s="19"/>
      <c r="D448" s="18"/>
    </row>
    <row r="449">
      <c r="B449" s="18"/>
      <c r="C449" s="19"/>
      <c r="D449" s="18"/>
    </row>
    <row r="450">
      <c r="B450" s="18"/>
      <c r="C450" s="19"/>
      <c r="D450" s="18"/>
    </row>
    <row r="451">
      <c r="B451" s="18"/>
      <c r="C451" s="19"/>
      <c r="D451" s="18"/>
    </row>
    <row r="452">
      <c r="B452" s="18"/>
      <c r="C452" s="19"/>
      <c r="D452" s="18"/>
    </row>
    <row r="453">
      <c r="B453" s="18"/>
      <c r="C453" s="19"/>
      <c r="D453" s="18"/>
    </row>
    <row r="454">
      <c r="B454" s="18"/>
      <c r="C454" s="19"/>
      <c r="D454" s="18"/>
    </row>
    <row r="455">
      <c r="B455" s="18"/>
      <c r="C455" s="19"/>
      <c r="D455" s="18"/>
    </row>
    <row r="456">
      <c r="B456" s="18"/>
      <c r="C456" s="19"/>
      <c r="D456" s="18"/>
    </row>
    <row r="457">
      <c r="B457" s="18"/>
      <c r="C457" s="19"/>
      <c r="D457" s="18"/>
    </row>
    <row r="458">
      <c r="B458" s="18"/>
      <c r="C458" s="19"/>
      <c r="D458" s="18"/>
    </row>
    <row r="459">
      <c r="B459" s="18"/>
      <c r="C459" s="19"/>
      <c r="D459" s="18"/>
    </row>
    <row r="460">
      <c r="B460" s="18"/>
      <c r="C460" s="19"/>
      <c r="D460" s="18"/>
    </row>
    <row r="461">
      <c r="B461" s="18"/>
      <c r="C461" s="19"/>
      <c r="D461" s="18"/>
    </row>
    <row r="462">
      <c r="B462" s="18"/>
      <c r="C462" s="19"/>
      <c r="D462" s="18"/>
    </row>
    <row r="463">
      <c r="B463" s="18"/>
      <c r="C463" s="19"/>
      <c r="D463" s="18"/>
    </row>
    <row r="464">
      <c r="B464" s="18"/>
      <c r="C464" s="19"/>
      <c r="D464" s="18"/>
    </row>
    <row r="465">
      <c r="B465" s="18"/>
      <c r="C465" s="19"/>
      <c r="D465" s="18"/>
    </row>
    <row r="466">
      <c r="B466" s="18"/>
      <c r="C466" s="19"/>
      <c r="D466" s="18"/>
    </row>
    <row r="467">
      <c r="B467" s="18"/>
      <c r="C467" s="19"/>
      <c r="D467" s="18"/>
    </row>
    <row r="468">
      <c r="B468" s="18"/>
      <c r="C468" s="19"/>
      <c r="D468" s="18"/>
    </row>
    <row r="469">
      <c r="B469" s="18"/>
      <c r="C469" s="19"/>
      <c r="D469" s="18"/>
    </row>
    <row r="470">
      <c r="B470" s="18"/>
      <c r="C470" s="19"/>
      <c r="D470" s="18"/>
    </row>
    <row r="471">
      <c r="B471" s="18"/>
      <c r="C471" s="19"/>
      <c r="D471" s="18"/>
    </row>
    <row r="472">
      <c r="B472" s="18"/>
      <c r="C472" s="19"/>
      <c r="D472" s="18"/>
    </row>
    <row r="473">
      <c r="B473" s="18"/>
      <c r="C473" s="19"/>
      <c r="D473" s="18"/>
    </row>
    <row r="474">
      <c r="B474" s="18"/>
      <c r="C474" s="19"/>
      <c r="D474" s="18"/>
    </row>
    <row r="475">
      <c r="B475" s="18"/>
      <c r="C475" s="19"/>
      <c r="D475" s="18"/>
    </row>
    <row r="476">
      <c r="B476" s="18"/>
      <c r="C476" s="19"/>
      <c r="D476" s="18"/>
    </row>
    <row r="477">
      <c r="B477" s="18"/>
      <c r="C477" s="19"/>
      <c r="D477" s="18"/>
    </row>
    <row r="478">
      <c r="B478" s="18"/>
      <c r="C478" s="19"/>
      <c r="D478" s="18"/>
    </row>
    <row r="479">
      <c r="B479" s="18"/>
      <c r="C479" s="19"/>
      <c r="D479" s="18"/>
    </row>
    <row r="480">
      <c r="B480" s="18"/>
      <c r="C480" s="19"/>
      <c r="D480" s="18"/>
    </row>
    <row r="481">
      <c r="B481" s="18"/>
      <c r="C481" s="19"/>
      <c r="D481" s="18"/>
    </row>
    <row r="482">
      <c r="B482" s="18"/>
      <c r="C482" s="19"/>
      <c r="D482" s="18"/>
    </row>
    <row r="483">
      <c r="B483" s="18"/>
      <c r="C483" s="19"/>
      <c r="D483" s="18"/>
    </row>
    <row r="484">
      <c r="B484" s="18"/>
      <c r="C484" s="19"/>
      <c r="D484" s="18"/>
    </row>
    <row r="485">
      <c r="B485" s="18"/>
      <c r="C485" s="19"/>
      <c r="D485" s="18"/>
    </row>
    <row r="486">
      <c r="B486" s="18"/>
      <c r="C486" s="19"/>
      <c r="D486" s="18"/>
    </row>
    <row r="487">
      <c r="B487" s="18"/>
      <c r="C487" s="19"/>
      <c r="D487" s="18"/>
    </row>
    <row r="488">
      <c r="B488" s="18"/>
      <c r="C488" s="19"/>
      <c r="D488" s="18"/>
    </row>
    <row r="489">
      <c r="B489" s="18"/>
      <c r="C489" s="19"/>
      <c r="D489" s="18"/>
    </row>
    <row r="490">
      <c r="B490" s="18"/>
      <c r="C490" s="19"/>
      <c r="D490" s="18"/>
    </row>
    <row r="491">
      <c r="B491" s="18"/>
      <c r="C491" s="19"/>
      <c r="D491" s="18"/>
    </row>
    <row r="492">
      <c r="B492" s="18"/>
      <c r="C492" s="19"/>
      <c r="D492" s="18"/>
    </row>
    <row r="493">
      <c r="B493" s="18"/>
      <c r="C493" s="19"/>
      <c r="D493" s="18"/>
    </row>
    <row r="494">
      <c r="B494" s="18"/>
      <c r="C494" s="19"/>
      <c r="D494" s="18"/>
    </row>
    <row r="495">
      <c r="B495" s="18"/>
      <c r="C495" s="19"/>
      <c r="D495" s="18"/>
    </row>
    <row r="496">
      <c r="B496" s="18"/>
      <c r="C496" s="19"/>
      <c r="D496" s="18"/>
    </row>
    <row r="497">
      <c r="B497" s="18"/>
      <c r="C497" s="19"/>
      <c r="D497" s="18"/>
    </row>
    <row r="498">
      <c r="B498" s="18"/>
      <c r="C498" s="19"/>
      <c r="D498" s="18"/>
    </row>
    <row r="499">
      <c r="B499" s="18"/>
      <c r="C499" s="19"/>
      <c r="D499" s="18"/>
    </row>
    <row r="500">
      <c r="B500" s="18"/>
      <c r="C500" s="19"/>
      <c r="D500" s="18"/>
    </row>
    <row r="501">
      <c r="B501" s="18"/>
      <c r="C501" s="19"/>
      <c r="D501" s="18"/>
    </row>
    <row r="502">
      <c r="B502" s="18"/>
      <c r="C502" s="19"/>
      <c r="D502" s="18"/>
    </row>
    <row r="503">
      <c r="B503" s="18"/>
      <c r="C503" s="19"/>
      <c r="D503" s="18"/>
    </row>
    <row r="504">
      <c r="B504" s="18"/>
      <c r="C504" s="19"/>
      <c r="D504" s="18"/>
    </row>
    <row r="505">
      <c r="B505" s="18"/>
      <c r="C505" s="19"/>
      <c r="D505" s="18"/>
    </row>
    <row r="506">
      <c r="B506" s="18"/>
      <c r="C506" s="19"/>
      <c r="D506" s="18"/>
    </row>
    <row r="507">
      <c r="B507" s="18"/>
      <c r="C507" s="19"/>
      <c r="D507" s="18"/>
    </row>
    <row r="508">
      <c r="B508" s="18"/>
      <c r="C508" s="19"/>
      <c r="D508" s="18"/>
    </row>
    <row r="509">
      <c r="B509" s="18"/>
      <c r="C509" s="19"/>
      <c r="D509" s="18"/>
    </row>
    <row r="510">
      <c r="B510" s="18"/>
      <c r="C510" s="19"/>
      <c r="D510" s="18"/>
    </row>
    <row r="511">
      <c r="B511" s="18"/>
      <c r="C511" s="19"/>
      <c r="D511" s="18"/>
    </row>
    <row r="512">
      <c r="B512" s="18"/>
      <c r="C512" s="19"/>
      <c r="D512" s="18"/>
    </row>
    <row r="513">
      <c r="B513" s="18"/>
      <c r="C513" s="19"/>
      <c r="D513" s="18"/>
    </row>
    <row r="514">
      <c r="B514" s="18"/>
      <c r="C514" s="19"/>
      <c r="D514" s="18"/>
    </row>
    <row r="515">
      <c r="B515" s="18"/>
      <c r="C515" s="19"/>
      <c r="D515" s="18"/>
    </row>
    <row r="516">
      <c r="B516" s="18"/>
      <c r="C516" s="19"/>
      <c r="D516" s="18"/>
    </row>
    <row r="517">
      <c r="B517" s="18"/>
      <c r="C517" s="19"/>
      <c r="D517" s="18"/>
    </row>
    <row r="518">
      <c r="B518" s="18"/>
      <c r="C518" s="19"/>
      <c r="D518" s="18"/>
    </row>
    <row r="519">
      <c r="B519" s="18"/>
      <c r="C519" s="19"/>
      <c r="D519" s="18"/>
    </row>
    <row r="520">
      <c r="B520" s="18"/>
      <c r="C520" s="19"/>
      <c r="D520" s="18"/>
    </row>
    <row r="521">
      <c r="B521" s="18"/>
      <c r="C521" s="19"/>
      <c r="D521" s="18"/>
    </row>
    <row r="522">
      <c r="B522" s="18"/>
      <c r="C522" s="19"/>
      <c r="D522" s="18"/>
    </row>
    <row r="523">
      <c r="B523" s="18"/>
      <c r="C523" s="19"/>
      <c r="D523" s="18"/>
    </row>
    <row r="524">
      <c r="B524" s="18"/>
      <c r="C524" s="19"/>
      <c r="D524" s="18"/>
    </row>
    <row r="525">
      <c r="B525" s="18"/>
      <c r="C525" s="19"/>
      <c r="D525" s="18"/>
    </row>
    <row r="526">
      <c r="B526" s="18"/>
      <c r="C526" s="19"/>
      <c r="D526" s="18"/>
    </row>
    <row r="527">
      <c r="B527" s="18"/>
      <c r="C527" s="19"/>
      <c r="D527" s="18"/>
    </row>
    <row r="528">
      <c r="B528" s="18"/>
      <c r="C528" s="19"/>
      <c r="D528" s="18"/>
    </row>
    <row r="529">
      <c r="B529" s="18"/>
      <c r="C529" s="19"/>
      <c r="D529" s="18"/>
    </row>
    <row r="530">
      <c r="B530" s="18"/>
      <c r="C530" s="19"/>
      <c r="D530" s="18"/>
    </row>
    <row r="531">
      <c r="B531" s="18"/>
      <c r="C531" s="19"/>
      <c r="D531" s="18"/>
    </row>
    <row r="532">
      <c r="B532" s="18"/>
      <c r="C532" s="19"/>
      <c r="D532" s="18"/>
    </row>
    <row r="533">
      <c r="B533" s="18"/>
      <c r="C533" s="19"/>
      <c r="D533" s="18"/>
    </row>
    <row r="534">
      <c r="B534" s="18"/>
      <c r="C534" s="19"/>
      <c r="D534" s="18"/>
    </row>
    <row r="535">
      <c r="B535" s="18"/>
      <c r="C535" s="19"/>
      <c r="D535" s="18"/>
    </row>
    <row r="536">
      <c r="B536" s="18"/>
      <c r="C536" s="19"/>
      <c r="D536" s="18"/>
    </row>
    <row r="537">
      <c r="B537" s="18"/>
      <c r="C537" s="19"/>
      <c r="D537" s="18"/>
    </row>
    <row r="538">
      <c r="B538" s="18"/>
      <c r="C538" s="19"/>
      <c r="D538" s="18"/>
    </row>
    <row r="539">
      <c r="B539" s="18"/>
      <c r="C539" s="19"/>
      <c r="D539" s="18"/>
    </row>
    <row r="540">
      <c r="B540" s="18"/>
      <c r="C540" s="19"/>
      <c r="D540" s="18"/>
    </row>
    <row r="541">
      <c r="B541" s="18"/>
      <c r="C541" s="19"/>
      <c r="D541" s="18"/>
    </row>
    <row r="542">
      <c r="B542" s="18"/>
      <c r="C542" s="19"/>
      <c r="D542" s="18"/>
    </row>
    <row r="543">
      <c r="B543" s="18"/>
      <c r="C543" s="19"/>
      <c r="D543" s="18"/>
    </row>
    <row r="544">
      <c r="B544" s="18"/>
      <c r="C544" s="19"/>
      <c r="D544" s="18"/>
    </row>
    <row r="545">
      <c r="B545" s="18"/>
      <c r="C545" s="19"/>
      <c r="D545" s="18"/>
    </row>
    <row r="546">
      <c r="B546" s="18"/>
      <c r="C546" s="19"/>
      <c r="D546" s="18"/>
    </row>
    <row r="547">
      <c r="B547" s="18"/>
      <c r="C547" s="19"/>
      <c r="D547" s="18"/>
    </row>
    <row r="548">
      <c r="B548" s="18"/>
      <c r="C548" s="19"/>
      <c r="D548" s="18"/>
    </row>
    <row r="549">
      <c r="B549" s="18"/>
      <c r="C549" s="19"/>
      <c r="D549" s="18"/>
    </row>
    <row r="550">
      <c r="B550" s="18"/>
      <c r="C550" s="19"/>
      <c r="D550" s="18"/>
    </row>
    <row r="551">
      <c r="B551" s="18"/>
      <c r="C551" s="19"/>
      <c r="D551" s="18"/>
    </row>
    <row r="552">
      <c r="B552" s="18"/>
      <c r="C552" s="19"/>
      <c r="D552" s="18"/>
    </row>
    <row r="553">
      <c r="B553" s="18"/>
      <c r="C553" s="19"/>
      <c r="D553" s="18"/>
    </row>
    <row r="554">
      <c r="B554" s="18"/>
      <c r="C554" s="19"/>
      <c r="D554" s="18"/>
    </row>
    <row r="555">
      <c r="B555" s="18"/>
      <c r="C555" s="19"/>
      <c r="D555" s="18"/>
    </row>
    <row r="556">
      <c r="B556" s="18"/>
      <c r="C556" s="19"/>
      <c r="D556" s="18"/>
    </row>
    <row r="557">
      <c r="B557" s="18"/>
      <c r="C557" s="19"/>
      <c r="D557" s="18"/>
    </row>
    <row r="558">
      <c r="B558" s="18"/>
      <c r="C558" s="19"/>
      <c r="D558" s="18"/>
    </row>
    <row r="559">
      <c r="B559" s="18"/>
      <c r="C559" s="19"/>
      <c r="D559" s="18"/>
    </row>
    <row r="560">
      <c r="B560" s="18"/>
      <c r="C560" s="19"/>
      <c r="D560" s="18"/>
    </row>
    <row r="561">
      <c r="B561" s="18"/>
      <c r="C561" s="19"/>
      <c r="D561" s="18"/>
    </row>
    <row r="562">
      <c r="B562" s="18"/>
      <c r="C562" s="19"/>
      <c r="D562" s="18"/>
    </row>
    <row r="563">
      <c r="B563" s="18"/>
      <c r="C563" s="19"/>
      <c r="D563" s="18"/>
    </row>
    <row r="564">
      <c r="B564" s="18"/>
      <c r="C564" s="19"/>
      <c r="D564" s="18"/>
    </row>
    <row r="565">
      <c r="B565" s="18"/>
      <c r="C565" s="19"/>
      <c r="D565" s="18"/>
    </row>
    <row r="566">
      <c r="B566" s="18"/>
      <c r="C566" s="19"/>
      <c r="D566" s="18"/>
    </row>
    <row r="567">
      <c r="B567" s="18"/>
      <c r="C567" s="19"/>
      <c r="D567" s="18"/>
    </row>
    <row r="568">
      <c r="B568" s="18"/>
      <c r="C568" s="19"/>
      <c r="D568" s="18"/>
    </row>
    <row r="569">
      <c r="B569" s="18"/>
      <c r="C569" s="19"/>
      <c r="D569" s="18"/>
    </row>
    <row r="570">
      <c r="B570" s="18"/>
      <c r="C570" s="19"/>
      <c r="D570" s="18"/>
    </row>
    <row r="571">
      <c r="B571" s="18"/>
      <c r="C571" s="19"/>
      <c r="D571" s="18"/>
    </row>
    <row r="572">
      <c r="B572" s="18"/>
      <c r="C572" s="19"/>
      <c r="D572" s="18"/>
    </row>
    <row r="573">
      <c r="B573" s="18"/>
      <c r="C573" s="19"/>
      <c r="D573" s="18"/>
    </row>
    <row r="574">
      <c r="B574" s="18"/>
      <c r="C574" s="19"/>
      <c r="D574" s="18"/>
    </row>
    <row r="575">
      <c r="B575" s="18"/>
      <c r="C575" s="19"/>
      <c r="D575" s="18"/>
    </row>
    <row r="576">
      <c r="B576" s="18"/>
      <c r="C576" s="19"/>
      <c r="D576" s="18"/>
    </row>
    <row r="577">
      <c r="B577" s="18"/>
      <c r="C577" s="19"/>
      <c r="D577" s="18"/>
    </row>
    <row r="578">
      <c r="B578" s="18"/>
      <c r="C578" s="19"/>
      <c r="D578" s="18"/>
    </row>
    <row r="579">
      <c r="B579" s="18"/>
      <c r="C579" s="19"/>
      <c r="D579" s="18"/>
    </row>
    <row r="580">
      <c r="B580" s="18"/>
      <c r="C580" s="19"/>
      <c r="D580" s="18"/>
    </row>
    <row r="581">
      <c r="B581" s="18"/>
      <c r="C581" s="19"/>
      <c r="D581" s="18"/>
    </row>
    <row r="582">
      <c r="B582" s="18"/>
      <c r="C582" s="19"/>
      <c r="D582" s="18"/>
    </row>
    <row r="583">
      <c r="B583" s="18"/>
      <c r="C583" s="19"/>
      <c r="D583" s="18"/>
    </row>
    <row r="584">
      <c r="B584" s="18"/>
      <c r="C584" s="19"/>
      <c r="D584" s="18"/>
    </row>
    <row r="585">
      <c r="B585" s="18"/>
      <c r="C585" s="19"/>
      <c r="D585" s="18"/>
    </row>
    <row r="586">
      <c r="B586" s="18"/>
      <c r="C586" s="19"/>
      <c r="D586" s="18"/>
    </row>
    <row r="587">
      <c r="B587" s="18"/>
      <c r="C587" s="19"/>
      <c r="D587" s="18"/>
    </row>
    <row r="588">
      <c r="B588" s="18"/>
      <c r="C588" s="19"/>
      <c r="D588" s="18"/>
    </row>
    <row r="589">
      <c r="B589" s="18"/>
      <c r="C589" s="19"/>
      <c r="D589" s="18"/>
    </row>
    <row r="590">
      <c r="B590" s="18"/>
      <c r="C590" s="19"/>
      <c r="D590" s="18"/>
    </row>
    <row r="591">
      <c r="B591" s="18"/>
      <c r="C591" s="19"/>
      <c r="D591" s="18"/>
    </row>
    <row r="592">
      <c r="B592" s="18"/>
      <c r="C592" s="19"/>
      <c r="D592" s="18"/>
    </row>
    <row r="593">
      <c r="B593" s="18"/>
      <c r="C593" s="19"/>
      <c r="D593" s="18"/>
    </row>
    <row r="594">
      <c r="B594" s="18"/>
      <c r="C594" s="19"/>
      <c r="D594" s="18"/>
    </row>
    <row r="595">
      <c r="B595" s="18"/>
      <c r="C595" s="19"/>
      <c r="D595" s="18"/>
    </row>
    <row r="596">
      <c r="B596" s="18"/>
      <c r="C596" s="19"/>
      <c r="D596" s="18"/>
    </row>
    <row r="597">
      <c r="B597" s="18"/>
      <c r="C597" s="19"/>
      <c r="D597" s="18"/>
    </row>
    <row r="598">
      <c r="B598" s="18"/>
      <c r="C598" s="19"/>
      <c r="D598" s="18"/>
    </row>
    <row r="599">
      <c r="B599" s="18"/>
      <c r="C599" s="19"/>
      <c r="D599" s="18"/>
    </row>
    <row r="600">
      <c r="B600" s="18"/>
      <c r="C600" s="19"/>
      <c r="D600" s="18"/>
    </row>
    <row r="601">
      <c r="B601" s="18"/>
      <c r="C601" s="19"/>
      <c r="D601" s="18"/>
    </row>
    <row r="602">
      <c r="B602" s="18"/>
      <c r="C602" s="19"/>
      <c r="D602" s="18"/>
    </row>
    <row r="603">
      <c r="B603" s="18"/>
      <c r="C603" s="19"/>
      <c r="D603" s="18"/>
    </row>
    <row r="604">
      <c r="B604" s="18"/>
      <c r="C604" s="19"/>
      <c r="D604" s="18"/>
    </row>
    <row r="605">
      <c r="B605" s="18"/>
      <c r="C605" s="19"/>
      <c r="D605" s="18"/>
    </row>
    <row r="606">
      <c r="B606" s="18"/>
      <c r="C606" s="19"/>
      <c r="D606" s="18"/>
    </row>
    <row r="607">
      <c r="B607" s="18"/>
      <c r="C607" s="19"/>
      <c r="D607" s="18"/>
    </row>
    <row r="608">
      <c r="B608" s="18"/>
      <c r="C608" s="19"/>
      <c r="D608" s="18"/>
    </row>
    <row r="609">
      <c r="B609" s="18"/>
      <c r="C609" s="19"/>
      <c r="D609" s="18"/>
    </row>
    <row r="610">
      <c r="B610" s="18"/>
      <c r="C610" s="19"/>
      <c r="D610" s="18"/>
    </row>
    <row r="611">
      <c r="B611" s="18"/>
      <c r="C611" s="19"/>
      <c r="D611" s="18"/>
    </row>
    <row r="612">
      <c r="B612" s="18"/>
      <c r="C612" s="19"/>
      <c r="D612" s="18"/>
    </row>
    <row r="613">
      <c r="B613" s="18"/>
      <c r="C613" s="19"/>
      <c r="D613" s="18"/>
    </row>
    <row r="614">
      <c r="B614" s="18"/>
      <c r="C614" s="19"/>
      <c r="D614" s="18"/>
    </row>
    <row r="615">
      <c r="B615" s="18"/>
      <c r="C615" s="19"/>
      <c r="D615" s="18"/>
    </row>
    <row r="616">
      <c r="B616" s="18"/>
      <c r="C616" s="19"/>
      <c r="D616" s="18"/>
    </row>
    <row r="617">
      <c r="B617" s="18"/>
      <c r="C617" s="19"/>
      <c r="D617" s="18"/>
    </row>
    <row r="618">
      <c r="B618" s="18"/>
      <c r="C618" s="19"/>
      <c r="D618" s="18"/>
    </row>
    <row r="619">
      <c r="B619" s="18"/>
      <c r="C619" s="19"/>
      <c r="D619" s="18"/>
    </row>
    <row r="620">
      <c r="B620" s="18"/>
      <c r="C620" s="19"/>
      <c r="D620" s="18"/>
    </row>
    <row r="621">
      <c r="B621" s="18"/>
      <c r="C621" s="19"/>
      <c r="D621" s="18"/>
    </row>
    <row r="622">
      <c r="B622" s="18"/>
      <c r="C622" s="19"/>
      <c r="D622" s="18"/>
    </row>
    <row r="623">
      <c r="B623" s="18"/>
      <c r="C623" s="19"/>
      <c r="D623" s="18"/>
    </row>
    <row r="624">
      <c r="B624" s="18"/>
      <c r="C624" s="19"/>
      <c r="D624" s="18"/>
    </row>
    <row r="625">
      <c r="B625" s="18"/>
      <c r="C625" s="19"/>
      <c r="D625" s="18"/>
    </row>
    <row r="626">
      <c r="B626" s="18"/>
      <c r="C626" s="19"/>
      <c r="D626" s="18"/>
    </row>
    <row r="627">
      <c r="B627" s="18"/>
      <c r="C627" s="19"/>
      <c r="D627" s="18"/>
    </row>
    <row r="628">
      <c r="B628" s="18"/>
      <c r="C628" s="19"/>
      <c r="D628" s="18"/>
    </row>
    <row r="629">
      <c r="B629" s="18"/>
      <c r="C629" s="19"/>
      <c r="D629" s="18"/>
    </row>
    <row r="630">
      <c r="B630" s="18"/>
      <c r="C630" s="19"/>
      <c r="D630" s="18"/>
    </row>
    <row r="631">
      <c r="B631" s="18"/>
      <c r="C631" s="19"/>
      <c r="D631" s="18"/>
    </row>
    <row r="632">
      <c r="B632" s="18"/>
      <c r="C632" s="19"/>
      <c r="D632" s="18"/>
    </row>
    <row r="633">
      <c r="B633" s="18"/>
      <c r="C633" s="19"/>
      <c r="D633" s="18"/>
    </row>
    <row r="634">
      <c r="B634" s="18"/>
      <c r="C634" s="19"/>
      <c r="D634" s="18"/>
    </row>
    <row r="635">
      <c r="B635" s="18"/>
      <c r="C635" s="19"/>
      <c r="D635" s="18"/>
    </row>
    <row r="636">
      <c r="B636" s="18"/>
      <c r="C636" s="19"/>
      <c r="D636" s="18"/>
    </row>
    <row r="637">
      <c r="B637" s="18"/>
      <c r="C637" s="19"/>
      <c r="D637" s="18"/>
    </row>
    <row r="638">
      <c r="B638" s="18"/>
      <c r="C638" s="19"/>
      <c r="D638" s="18"/>
    </row>
    <row r="639">
      <c r="B639" s="18"/>
      <c r="C639" s="19"/>
      <c r="D639" s="18"/>
    </row>
    <row r="640">
      <c r="B640" s="18"/>
      <c r="C640" s="19"/>
      <c r="D640" s="18"/>
    </row>
    <row r="641">
      <c r="B641" s="18"/>
      <c r="C641" s="19"/>
      <c r="D641" s="18"/>
    </row>
    <row r="642">
      <c r="B642" s="18"/>
      <c r="C642" s="19"/>
      <c r="D642" s="18"/>
    </row>
    <row r="643">
      <c r="B643" s="18"/>
      <c r="C643" s="19"/>
      <c r="D643" s="18"/>
    </row>
    <row r="644">
      <c r="B644" s="18"/>
      <c r="C644" s="19"/>
      <c r="D644" s="18"/>
    </row>
    <row r="645">
      <c r="B645" s="18"/>
      <c r="C645" s="19"/>
      <c r="D645" s="18"/>
    </row>
    <row r="646">
      <c r="B646" s="18"/>
      <c r="C646" s="19"/>
      <c r="D646" s="18"/>
    </row>
    <row r="647">
      <c r="B647" s="18"/>
      <c r="C647" s="19"/>
      <c r="D647" s="18"/>
    </row>
    <row r="648">
      <c r="B648" s="18"/>
      <c r="C648" s="19"/>
      <c r="D648" s="18"/>
    </row>
    <row r="649">
      <c r="B649" s="18"/>
      <c r="C649" s="19"/>
      <c r="D649" s="18"/>
    </row>
    <row r="650">
      <c r="B650" s="18"/>
      <c r="C650" s="19"/>
      <c r="D650" s="18"/>
    </row>
    <row r="651">
      <c r="B651" s="18"/>
      <c r="C651" s="19"/>
      <c r="D651" s="18"/>
    </row>
    <row r="652">
      <c r="B652" s="18"/>
      <c r="C652" s="19"/>
      <c r="D652" s="18"/>
    </row>
    <row r="653">
      <c r="B653" s="18"/>
      <c r="C653" s="19"/>
      <c r="D653" s="18"/>
    </row>
    <row r="654">
      <c r="B654" s="18"/>
      <c r="C654" s="19"/>
      <c r="D654" s="18"/>
    </row>
    <row r="655">
      <c r="B655" s="18"/>
      <c r="C655" s="19"/>
      <c r="D655" s="18"/>
    </row>
    <row r="656">
      <c r="B656" s="18"/>
      <c r="C656" s="19"/>
      <c r="D656" s="18"/>
    </row>
    <row r="657">
      <c r="B657" s="18"/>
      <c r="C657" s="19"/>
      <c r="D657" s="18"/>
    </row>
    <row r="658">
      <c r="B658" s="18"/>
      <c r="C658" s="19"/>
      <c r="D658" s="18"/>
    </row>
    <row r="659">
      <c r="B659" s="18"/>
      <c r="C659" s="19"/>
      <c r="D659" s="18"/>
    </row>
    <row r="660">
      <c r="B660" s="18"/>
      <c r="C660" s="19"/>
      <c r="D660" s="18"/>
    </row>
    <row r="661">
      <c r="B661" s="18"/>
      <c r="C661" s="19"/>
      <c r="D661" s="18"/>
    </row>
    <row r="662">
      <c r="B662" s="18"/>
      <c r="C662" s="19"/>
      <c r="D662" s="18"/>
    </row>
    <row r="663">
      <c r="B663" s="18"/>
      <c r="C663" s="19"/>
      <c r="D663" s="18"/>
    </row>
    <row r="664">
      <c r="B664" s="18"/>
      <c r="C664" s="19"/>
      <c r="D664" s="18"/>
    </row>
    <row r="665">
      <c r="B665" s="18"/>
      <c r="C665" s="19"/>
      <c r="D665" s="18"/>
    </row>
    <row r="666">
      <c r="B666" s="18"/>
      <c r="C666" s="19"/>
      <c r="D666" s="18"/>
    </row>
    <row r="667">
      <c r="B667" s="18"/>
      <c r="C667" s="19"/>
      <c r="D667" s="18"/>
    </row>
    <row r="668">
      <c r="B668" s="18"/>
      <c r="C668" s="19"/>
      <c r="D668" s="18"/>
    </row>
    <row r="669">
      <c r="B669" s="18"/>
      <c r="C669" s="19"/>
      <c r="D669" s="18"/>
    </row>
    <row r="670">
      <c r="B670" s="18"/>
      <c r="C670" s="19"/>
      <c r="D670" s="18"/>
    </row>
    <row r="671">
      <c r="B671" s="18"/>
      <c r="C671" s="19"/>
      <c r="D671" s="18"/>
    </row>
    <row r="672">
      <c r="B672" s="18"/>
      <c r="C672" s="19"/>
      <c r="D672" s="18"/>
    </row>
    <row r="673">
      <c r="B673" s="18"/>
      <c r="C673" s="19"/>
      <c r="D673" s="18"/>
    </row>
    <row r="674">
      <c r="B674" s="18"/>
      <c r="C674" s="19"/>
      <c r="D674" s="18"/>
    </row>
    <row r="675">
      <c r="B675" s="18"/>
      <c r="C675" s="19"/>
      <c r="D675" s="18"/>
    </row>
    <row r="676">
      <c r="B676" s="18"/>
      <c r="C676" s="19"/>
      <c r="D676" s="18"/>
    </row>
    <row r="677">
      <c r="B677" s="18"/>
      <c r="C677" s="19"/>
      <c r="D677" s="18"/>
    </row>
    <row r="678">
      <c r="B678" s="18"/>
      <c r="C678" s="19"/>
      <c r="D678" s="18"/>
    </row>
    <row r="679">
      <c r="B679" s="18"/>
      <c r="C679" s="19"/>
      <c r="D679" s="18"/>
    </row>
    <row r="680">
      <c r="B680" s="18"/>
      <c r="C680" s="19"/>
      <c r="D680" s="18"/>
    </row>
    <row r="681">
      <c r="B681" s="18"/>
      <c r="C681" s="19"/>
      <c r="D681" s="18"/>
    </row>
    <row r="682">
      <c r="B682" s="18"/>
      <c r="C682" s="19"/>
      <c r="D682" s="18"/>
    </row>
    <row r="683">
      <c r="B683" s="18"/>
      <c r="C683" s="19"/>
      <c r="D683" s="18"/>
    </row>
    <row r="684">
      <c r="B684" s="18"/>
      <c r="C684" s="19"/>
      <c r="D684" s="18"/>
    </row>
    <row r="685">
      <c r="B685" s="18"/>
      <c r="C685" s="19"/>
      <c r="D685" s="18"/>
    </row>
    <row r="686">
      <c r="B686" s="18"/>
      <c r="C686" s="19"/>
      <c r="D686" s="18"/>
    </row>
    <row r="687">
      <c r="B687" s="18"/>
      <c r="C687" s="19"/>
      <c r="D687" s="18"/>
    </row>
    <row r="688">
      <c r="B688" s="18"/>
      <c r="C688" s="19"/>
      <c r="D688" s="18"/>
    </row>
    <row r="689">
      <c r="B689" s="18"/>
      <c r="C689" s="19"/>
      <c r="D689" s="18"/>
    </row>
    <row r="690">
      <c r="B690" s="18"/>
      <c r="C690" s="19"/>
      <c r="D690" s="18"/>
    </row>
    <row r="691">
      <c r="B691" s="18"/>
      <c r="C691" s="19"/>
      <c r="D691" s="18"/>
    </row>
    <row r="692">
      <c r="B692" s="18"/>
      <c r="C692" s="19"/>
      <c r="D692" s="18"/>
    </row>
    <row r="693">
      <c r="B693" s="18"/>
      <c r="C693" s="19"/>
      <c r="D693" s="18"/>
    </row>
    <row r="694">
      <c r="B694" s="18"/>
      <c r="C694" s="19"/>
      <c r="D694" s="18"/>
    </row>
    <row r="695">
      <c r="B695" s="18"/>
      <c r="C695" s="19"/>
      <c r="D695" s="18"/>
    </row>
    <row r="696">
      <c r="B696" s="18"/>
      <c r="C696" s="19"/>
      <c r="D696" s="18"/>
    </row>
    <row r="697">
      <c r="B697" s="18"/>
      <c r="C697" s="19"/>
      <c r="D697" s="18"/>
    </row>
    <row r="698">
      <c r="B698" s="18"/>
      <c r="C698" s="19"/>
      <c r="D698" s="18"/>
    </row>
    <row r="699">
      <c r="B699" s="18"/>
      <c r="C699" s="19"/>
      <c r="D699" s="18"/>
    </row>
    <row r="700">
      <c r="B700" s="18"/>
      <c r="C700" s="19"/>
      <c r="D700" s="18"/>
    </row>
    <row r="701">
      <c r="B701" s="18"/>
      <c r="C701" s="19"/>
      <c r="D701" s="18"/>
    </row>
    <row r="702">
      <c r="B702" s="18"/>
      <c r="C702" s="19"/>
      <c r="D702" s="18"/>
    </row>
    <row r="703">
      <c r="B703" s="18"/>
      <c r="C703" s="19"/>
      <c r="D703" s="18"/>
    </row>
    <row r="704">
      <c r="B704" s="18"/>
      <c r="C704" s="19"/>
      <c r="D704" s="18"/>
    </row>
    <row r="705">
      <c r="B705" s="18"/>
      <c r="C705" s="19"/>
      <c r="D705" s="18"/>
    </row>
    <row r="706">
      <c r="B706" s="18"/>
      <c r="C706" s="19"/>
      <c r="D706" s="18"/>
    </row>
    <row r="707">
      <c r="B707" s="18"/>
      <c r="C707" s="19"/>
      <c r="D707" s="18"/>
    </row>
    <row r="708">
      <c r="B708" s="18"/>
      <c r="C708" s="19"/>
      <c r="D708" s="18"/>
    </row>
    <row r="709">
      <c r="B709" s="18"/>
      <c r="C709" s="19"/>
      <c r="D709" s="18"/>
    </row>
    <row r="710">
      <c r="B710" s="18"/>
      <c r="C710" s="19"/>
      <c r="D710" s="18"/>
    </row>
    <row r="711">
      <c r="B711" s="18"/>
      <c r="C711" s="19"/>
      <c r="D711" s="18"/>
    </row>
    <row r="712">
      <c r="B712" s="18"/>
      <c r="C712" s="19"/>
      <c r="D712" s="18"/>
    </row>
    <row r="713">
      <c r="B713" s="18"/>
      <c r="C713" s="19"/>
      <c r="D713" s="18"/>
    </row>
    <row r="714">
      <c r="B714" s="18"/>
      <c r="C714" s="19"/>
      <c r="D714" s="18"/>
    </row>
    <row r="715">
      <c r="B715" s="18"/>
      <c r="C715" s="19"/>
      <c r="D715" s="18"/>
    </row>
    <row r="716">
      <c r="B716" s="18"/>
      <c r="C716" s="19"/>
      <c r="D716" s="18"/>
    </row>
    <row r="717">
      <c r="B717" s="18"/>
      <c r="C717" s="19"/>
      <c r="D717" s="18"/>
    </row>
    <row r="718">
      <c r="B718" s="18"/>
      <c r="C718" s="19"/>
      <c r="D718" s="18"/>
    </row>
    <row r="719">
      <c r="B719" s="18"/>
      <c r="C719" s="19"/>
      <c r="D719" s="18"/>
    </row>
    <row r="720">
      <c r="B720" s="18"/>
      <c r="C720" s="19"/>
      <c r="D720" s="18"/>
    </row>
    <row r="721">
      <c r="B721" s="18"/>
      <c r="C721" s="19"/>
      <c r="D721" s="18"/>
    </row>
    <row r="722">
      <c r="B722" s="18"/>
      <c r="C722" s="19"/>
      <c r="D722" s="18"/>
    </row>
    <row r="723">
      <c r="B723" s="18"/>
      <c r="C723" s="19"/>
      <c r="D723" s="18"/>
    </row>
    <row r="724">
      <c r="B724" s="18"/>
      <c r="C724" s="19"/>
      <c r="D724" s="18"/>
    </row>
    <row r="725">
      <c r="B725" s="18"/>
      <c r="C725" s="19"/>
      <c r="D725" s="18"/>
    </row>
    <row r="726">
      <c r="B726" s="18"/>
      <c r="C726" s="19"/>
      <c r="D726" s="18"/>
    </row>
    <row r="727">
      <c r="B727" s="18"/>
      <c r="C727" s="19"/>
      <c r="D727" s="18"/>
    </row>
    <row r="728">
      <c r="B728" s="18"/>
      <c r="C728" s="19"/>
      <c r="D728" s="18"/>
    </row>
    <row r="729">
      <c r="B729" s="18"/>
      <c r="C729" s="19"/>
      <c r="D729" s="18"/>
    </row>
    <row r="730">
      <c r="B730" s="18"/>
      <c r="C730" s="19"/>
      <c r="D730" s="18"/>
    </row>
    <row r="731">
      <c r="B731" s="18"/>
      <c r="C731" s="19"/>
      <c r="D731" s="18"/>
    </row>
    <row r="732">
      <c r="B732" s="18"/>
      <c r="C732" s="19"/>
      <c r="D732" s="18"/>
    </row>
    <row r="733">
      <c r="B733" s="18"/>
      <c r="C733" s="19"/>
      <c r="D733" s="18"/>
    </row>
    <row r="734">
      <c r="B734" s="18"/>
      <c r="C734" s="19"/>
      <c r="D734" s="18"/>
    </row>
    <row r="735">
      <c r="B735" s="18"/>
      <c r="C735" s="19"/>
      <c r="D735" s="18"/>
    </row>
    <row r="736">
      <c r="B736" s="18"/>
      <c r="C736" s="19"/>
      <c r="D736" s="18"/>
    </row>
    <row r="737">
      <c r="B737" s="18"/>
      <c r="C737" s="19"/>
      <c r="D737" s="18"/>
    </row>
    <row r="738">
      <c r="B738" s="18"/>
      <c r="C738" s="19"/>
      <c r="D738" s="18"/>
    </row>
    <row r="739">
      <c r="B739" s="18"/>
      <c r="C739" s="19"/>
      <c r="D739" s="18"/>
    </row>
    <row r="740">
      <c r="B740" s="18"/>
      <c r="C740" s="19"/>
      <c r="D740" s="18"/>
    </row>
    <row r="741">
      <c r="B741" s="18"/>
      <c r="C741" s="19"/>
      <c r="D741" s="18"/>
    </row>
    <row r="742">
      <c r="B742" s="18"/>
      <c r="C742" s="19"/>
      <c r="D742" s="18"/>
    </row>
    <row r="743">
      <c r="B743" s="18"/>
      <c r="C743" s="19"/>
      <c r="D743" s="18"/>
    </row>
    <row r="744">
      <c r="B744" s="18"/>
      <c r="C744" s="19"/>
      <c r="D744" s="18"/>
    </row>
    <row r="745">
      <c r="B745" s="18"/>
      <c r="C745" s="19"/>
      <c r="D745" s="18"/>
    </row>
    <row r="746">
      <c r="B746" s="18"/>
      <c r="C746" s="19"/>
      <c r="D746" s="18"/>
    </row>
    <row r="747">
      <c r="B747" s="18"/>
      <c r="C747" s="19"/>
      <c r="D747" s="18"/>
    </row>
    <row r="748">
      <c r="B748" s="18"/>
      <c r="C748" s="19"/>
      <c r="D748" s="18"/>
    </row>
    <row r="749">
      <c r="B749" s="18"/>
      <c r="C749" s="19"/>
      <c r="D749" s="18"/>
    </row>
    <row r="750">
      <c r="B750" s="18"/>
      <c r="C750" s="19"/>
      <c r="D750" s="18"/>
    </row>
    <row r="751">
      <c r="B751" s="18"/>
      <c r="C751" s="19"/>
      <c r="D751" s="18"/>
    </row>
    <row r="752">
      <c r="B752" s="18"/>
      <c r="C752" s="19"/>
      <c r="D752" s="18"/>
    </row>
    <row r="753">
      <c r="B753" s="18"/>
      <c r="C753" s="19"/>
      <c r="D753" s="18"/>
    </row>
    <row r="754">
      <c r="B754" s="18"/>
      <c r="C754" s="19"/>
      <c r="D754" s="18"/>
    </row>
    <row r="755">
      <c r="B755" s="18"/>
      <c r="C755" s="19"/>
      <c r="D755" s="18"/>
    </row>
    <row r="756">
      <c r="B756" s="18"/>
      <c r="C756" s="19"/>
      <c r="D756" s="18"/>
    </row>
    <row r="757">
      <c r="B757" s="18"/>
      <c r="C757" s="19"/>
      <c r="D757" s="18"/>
    </row>
    <row r="758">
      <c r="B758" s="18"/>
      <c r="C758" s="19"/>
      <c r="D758" s="18"/>
    </row>
    <row r="759">
      <c r="B759" s="18"/>
      <c r="C759" s="19"/>
      <c r="D759" s="18"/>
    </row>
    <row r="760">
      <c r="B760" s="18"/>
      <c r="C760" s="19"/>
      <c r="D760" s="18"/>
    </row>
    <row r="761">
      <c r="B761" s="18"/>
      <c r="C761" s="19"/>
      <c r="D761" s="18"/>
    </row>
    <row r="762">
      <c r="B762" s="18"/>
      <c r="C762" s="19"/>
      <c r="D762" s="18"/>
    </row>
    <row r="763">
      <c r="B763" s="18"/>
      <c r="C763" s="19"/>
      <c r="D763" s="18"/>
    </row>
    <row r="764">
      <c r="B764" s="18"/>
      <c r="C764" s="19"/>
      <c r="D764" s="18"/>
    </row>
    <row r="765">
      <c r="B765" s="18"/>
      <c r="C765" s="19"/>
      <c r="D765" s="18"/>
    </row>
    <row r="766">
      <c r="B766" s="18"/>
      <c r="C766" s="19"/>
      <c r="D766" s="18"/>
    </row>
    <row r="767">
      <c r="B767" s="18"/>
      <c r="C767" s="19"/>
      <c r="D767" s="18"/>
    </row>
    <row r="768">
      <c r="B768" s="18"/>
      <c r="C768" s="19"/>
      <c r="D768" s="18"/>
    </row>
    <row r="769">
      <c r="B769" s="18"/>
      <c r="C769" s="19"/>
      <c r="D769" s="18"/>
    </row>
    <row r="770">
      <c r="B770" s="18"/>
      <c r="C770" s="19"/>
      <c r="D770" s="18"/>
    </row>
    <row r="771">
      <c r="B771" s="18"/>
      <c r="C771" s="19"/>
      <c r="D771" s="18"/>
    </row>
    <row r="772">
      <c r="B772" s="18"/>
      <c r="C772" s="19"/>
      <c r="D772" s="18"/>
    </row>
    <row r="773">
      <c r="B773" s="18"/>
      <c r="C773" s="19"/>
      <c r="D773" s="18"/>
    </row>
    <row r="774">
      <c r="B774" s="18"/>
      <c r="C774" s="19"/>
      <c r="D774" s="18"/>
    </row>
    <row r="775">
      <c r="B775" s="18"/>
      <c r="C775" s="19"/>
      <c r="D775" s="18"/>
    </row>
    <row r="776">
      <c r="B776" s="18"/>
      <c r="C776" s="19"/>
      <c r="D776" s="18"/>
    </row>
    <row r="777">
      <c r="B777" s="18"/>
      <c r="C777" s="19"/>
      <c r="D777" s="18"/>
    </row>
    <row r="778">
      <c r="B778" s="18"/>
      <c r="C778" s="19"/>
      <c r="D778" s="18"/>
    </row>
    <row r="779">
      <c r="B779" s="18"/>
      <c r="C779" s="19"/>
      <c r="D779" s="18"/>
    </row>
    <row r="780">
      <c r="B780" s="18"/>
      <c r="C780" s="19"/>
      <c r="D780" s="18"/>
    </row>
    <row r="781">
      <c r="B781" s="18"/>
      <c r="C781" s="19"/>
      <c r="D781" s="18"/>
    </row>
    <row r="782">
      <c r="B782" s="18"/>
      <c r="C782" s="19"/>
      <c r="D782" s="18"/>
    </row>
    <row r="783">
      <c r="B783" s="18"/>
      <c r="C783" s="19"/>
      <c r="D783" s="18"/>
    </row>
    <row r="784">
      <c r="B784" s="18"/>
      <c r="C784" s="19"/>
      <c r="D784" s="18"/>
    </row>
    <row r="785">
      <c r="B785" s="18"/>
      <c r="C785" s="19"/>
      <c r="D785" s="18"/>
    </row>
    <row r="786">
      <c r="B786" s="18"/>
      <c r="C786" s="19"/>
      <c r="D786" s="18"/>
    </row>
    <row r="787">
      <c r="B787" s="18"/>
      <c r="C787" s="19"/>
      <c r="D787" s="18"/>
    </row>
    <row r="788">
      <c r="B788" s="18"/>
      <c r="C788" s="19"/>
      <c r="D788" s="18"/>
    </row>
    <row r="789">
      <c r="B789" s="18"/>
      <c r="C789" s="19"/>
      <c r="D789" s="18"/>
    </row>
    <row r="790">
      <c r="B790" s="18"/>
      <c r="C790" s="19"/>
      <c r="D790" s="18"/>
    </row>
    <row r="791">
      <c r="B791" s="18"/>
      <c r="C791" s="19"/>
      <c r="D791" s="18"/>
    </row>
    <row r="792">
      <c r="B792" s="18"/>
      <c r="C792" s="19"/>
      <c r="D792" s="18"/>
    </row>
    <row r="793">
      <c r="B793" s="18"/>
      <c r="C793" s="19"/>
      <c r="D793" s="18"/>
    </row>
    <row r="794">
      <c r="B794" s="18"/>
      <c r="C794" s="19"/>
      <c r="D794" s="18"/>
    </row>
    <row r="795">
      <c r="B795" s="18"/>
      <c r="C795" s="19"/>
      <c r="D795" s="18"/>
    </row>
    <row r="796">
      <c r="B796" s="18"/>
      <c r="C796" s="19"/>
      <c r="D796" s="18"/>
    </row>
    <row r="797">
      <c r="B797" s="18"/>
      <c r="C797" s="19"/>
      <c r="D797" s="18"/>
    </row>
    <row r="798">
      <c r="B798" s="18"/>
      <c r="C798" s="19"/>
      <c r="D798" s="18"/>
    </row>
    <row r="799">
      <c r="B799" s="18"/>
      <c r="C799" s="19"/>
      <c r="D799" s="18"/>
    </row>
    <row r="800">
      <c r="B800" s="18"/>
      <c r="C800" s="19"/>
      <c r="D800" s="18"/>
    </row>
    <row r="801">
      <c r="B801" s="18"/>
      <c r="C801" s="19"/>
      <c r="D801" s="18"/>
    </row>
    <row r="802">
      <c r="B802" s="18"/>
      <c r="C802" s="19"/>
      <c r="D802" s="18"/>
    </row>
    <row r="803">
      <c r="B803" s="18"/>
      <c r="C803" s="19"/>
      <c r="D803" s="18"/>
    </row>
    <row r="804">
      <c r="B804" s="18"/>
      <c r="C804" s="19"/>
      <c r="D804" s="18"/>
    </row>
    <row r="805">
      <c r="B805" s="18"/>
      <c r="C805" s="19"/>
      <c r="D805" s="18"/>
    </row>
    <row r="806">
      <c r="B806" s="18"/>
      <c r="C806" s="19"/>
      <c r="D806" s="18"/>
    </row>
    <row r="807">
      <c r="B807" s="18"/>
      <c r="C807" s="19"/>
      <c r="D807" s="18"/>
    </row>
    <row r="808">
      <c r="B808" s="18"/>
      <c r="C808" s="19"/>
      <c r="D808" s="18"/>
    </row>
    <row r="809">
      <c r="B809" s="18"/>
      <c r="C809" s="19"/>
      <c r="D809" s="18"/>
    </row>
    <row r="810">
      <c r="B810" s="18"/>
      <c r="C810" s="19"/>
      <c r="D810" s="18"/>
    </row>
    <row r="811">
      <c r="B811" s="18"/>
      <c r="C811" s="19"/>
      <c r="D811" s="18"/>
    </row>
    <row r="812">
      <c r="B812" s="18"/>
      <c r="C812" s="19"/>
      <c r="D812" s="18"/>
    </row>
    <row r="813">
      <c r="B813" s="18"/>
      <c r="C813" s="19"/>
      <c r="D813" s="18"/>
    </row>
    <row r="814">
      <c r="B814" s="18"/>
      <c r="C814" s="19"/>
      <c r="D814" s="18"/>
    </row>
    <row r="815">
      <c r="B815" s="18"/>
      <c r="C815" s="19"/>
      <c r="D815" s="18"/>
    </row>
    <row r="816">
      <c r="B816" s="18"/>
      <c r="C816" s="19"/>
      <c r="D816" s="18"/>
    </row>
    <row r="817">
      <c r="B817" s="18"/>
      <c r="C817" s="19"/>
      <c r="D817" s="18"/>
    </row>
    <row r="818">
      <c r="B818" s="18"/>
      <c r="C818" s="19"/>
      <c r="D818" s="18"/>
    </row>
    <row r="819">
      <c r="B819" s="18"/>
      <c r="C819" s="19"/>
      <c r="D819" s="18"/>
    </row>
    <row r="820">
      <c r="B820" s="18"/>
      <c r="C820" s="19"/>
      <c r="D820" s="18"/>
    </row>
    <row r="821">
      <c r="B821" s="18"/>
      <c r="C821" s="19"/>
      <c r="D821" s="18"/>
    </row>
    <row r="822">
      <c r="B822" s="18"/>
      <c r="C822" s="19"/>
      <c r="D822" s="18"/>
    </row>
    <row r="823">
      <c r="B823" s="18"/>
      <c r="C823" s="19"/>
      <c r="D823" s="18"/>
    </row>
    <row r="824">
      <c r="B824" s="18"/>
      <c r="C824" s="19"/>
      <c r="D824" s="18"/>
    </row>
    <row r="825">
      <c r="B825" s="18"/>
      <c r="C825" s="19"/>
      <c r="D825" s="18"/>
    </row>
    <row r="826">
      <c r="B826" s="18"/>
      <c r="C826" s="19"/>
      <c r="D826" s="18"/>
    </row>
    <row r="827">
      <c r="B827" s="18"/>
      <c r="C827" s="19"/>
      <c r="D827" s="18"/>
    </row>
    <row r="828">
      <c r="B828" s="18"/>
      <c r="C828" s="19"/>
      <c r="D828" s="18"/>
    </row>
    <row r="829">
      <c r="B829" s="18"/>
      <c r="C829" s="19"/>
      <c r="D829" s="18"/>
    </row>
    <row r="830">
      <c r="B830" s="18"/>
      <c r="C830" s="19"/>
      <c r="D830" s="18"/>
    </row>
    <row r="831">
      <c r="B831" s="18"/>
      <c r="C831" s="19"/>
      <c r="D831" s="18"/>
    </row>
    <row r="832">
      <c r="B832" s="18"/>
      <c r="C832" s="19"/>
      <c r="D832" s="18"/>
    </row>
    <row r="833">
      <c r="B833" s="18"/>
      <c r="C833" s="19"/>
      <c r="D833" s="18"/>
    </row>
    <row r="834">
      <c r="B834" s="18"/>
      <c r="C834" s="19"/>
      <c r="D834" s="18"/>
    </row>
    <row r="835">
      <c r="B835" s="18"/>
      <c r="C835" s="19"/>
      <c r="D835" s="18"/>
    </row>
    <row r="836">
      <c r="B836" s="18"/>
      <c r="C836" s="19"/>
      <c r="D836" s="18"/>
    </row>
    <row r="837">
      <c r="B837" s="18"/>
      <c r="C837" s="19"/>
      <c r="D837" s="18"/>
    </row>
    <row r="838">
      <c r="B838" s="18"/>
      <c r="C838" s="19"/>
      <c r="D838" s="18"/>
    </row>
    <row r="839">
      <c r="B839" s="18"/>
      <c r="C839" s="19"/>
      <c r="D839" s="18"/>
    </row>
    <row r="840">
      <c r="B840" s="18"/>
      <c r="C840" s="19"/>
      <c r="D840" s="18"/>
    </row>
    <row r="841">
      <c r="B841" s="18"/>
      <c r="C841" s="19"/>
      <c r="D841" s="18"/>
    </row>
    <row r="842">
      <c r="B842" s="18"/>
      <c r="C842" s="19"/>
      <c r="D842" s="18"/>
    </row>
    <row r="843">
      <c r="B843" s="18"/>
      <c r="C843" s="19"/>
      <c r="D843" s="18"/>
    </row>
    <row r="844">
      <c r="B844" s="18"/>
      <c r="C844" s="19"/>
      <c r="D844" s="18"/>
    </row>
    <row r="845">
      <c r="B845" s="18"/>
      <c r="C845" s="19"/>
      <c r="D845" s="18"/>
    </row>
    <row r="846">
      <c r="B846" s="18"/>
      <c r="C846" s="19"/>
      <c r="D846" s="18"/>
    </row>
    <row r="847">
      <c r="B847" s="18"/>
      <c r="C847" s="19"/>
      <c r="D847" s="18"/>
    </row>
    <row r="848">
      <c r="B848" s="18"/>
      <c r="C848" s="19"/>
      <c r="D848" s="18"/>
    </row>
    <row r="849">
      <c r="B849" s="18"/>
      <c r="C849" s="19"/>
      <c r="D849" s="18"/>
    </row>
    <row r="850">
      <c r="B850" s="18"/>
      <c r="C850" s="19"/>
      <c r="D850" s="18"/>
    </row>
    <row r="851">
      <c r="B851" s="18"/>
      <c r="C851" s="19"/>
      <c r="D851" s="18"/>
    </row>
    <row r="852">
      <c r="B852" s="18"/>
      <c r="C852" s="19"/>
      <c r="D852" s="18"/>
    </row>
    <row r="853">
      <c r="B853" s="18"/>
      <c r="C853" s="19"/>
      <c r="D853" s="18"/>
    </row>
    <row r="854">
      <c r="B854" s="18"/>
      <c r="C854" s="19"/>
      <c r="D854" s="18"/>
    </row>
    <row r="855">
      <c r="B855" s="18"/>
      <c r="C855" s="19"/>
      <c r="D855" s="18"/>
    </row>
    <row r="856">
      <c r="B856" s="18"/>
      <c r="C856" s="19"/>
      <c r="D856" s="18"/>
    </row>
    <row r="857">
      <c r="B857" s="18"/>
      <c r="C857" s="19"/>
      <c r="D857" s="18"/>
    </row>
    <row r="858">
      <c r="B858" s="18"/>
      <c r="C858" s="19"/>
      <c r="D858" s="18"/>
    </row>
    <row r="859">
      <c r="B859" s="18"/>
      <c r="C859" s="19"/>
      <c r="D859" s="18"/>
    </row>
    <row r="860">
      <c r="B860" s="18"/>
      <c r="C860" s="19"/>
      <c r="D860" s="18"/>
    </row>
    <row r="861">
      <c r="B861" s="18"/>
      <c r="C861" s="19"/>
      <c r="D861" s="18"/>
    </row>
    <row r="862">
      <c r="B862" s="18"/>
      <c r="C862" s="19"/>
      <c r="D862" s="18"/>
    </row>
    <row r="863">
      <c r="B863" s="18"/>
      <c r="C863" s="19"/>
      <c r="D863" s="18"/>
    </row>
    <row r="864">
      <c r="B864" s="18"/>
      <c r="C864" s="19"/>
      <c r="D864" s="18"/>
    </row>
    <row r="865">
      <c r="B865" s="18"/>
      <c r="C865" s="19"/>
      <c r="D865" s="18"/>
    </row>
    <row r="866">
      <c r="B866" s="18"/>
      <c r="C866" s="19"/>
      <c r="D866" s="18"/>
    </row>
    <row r="867">
      <c r="B867" s="18"/>
      <c r="C867" s="19"/>
      <c r="D867" s="18"/>
    </row>
    <row r="868">
      <c r="B868" s="18"/>
      <c r="C868" s="19"/>
      <c r="D868" s="18"/>
    </row>
    <row r="869">
      <c r="B869" s="18"/>
      <c r="C869" s="19"/>
      <c r="D869" s="18"/>
    </row>
    <row r="870">
      <c r="B870" s="18"/>
      <c r="C870" s="19"/>
      <c r="D870" s="18"/>
    </row>
    <row r="871">
      <c r="B871" s="18"/>
      <c r="C871" s="19"/>
      <c r="D871" s="18"/>
    </row>
    <row r="872">
      <c r="B872" s="18"/>
      <c r="C872" s="19"/>
      <c r="D872" s="18"/>
    </row>
    <row r="873">
      <c r="B873" s="18"/>
      <c r="C873" s="19"/>
      <c r="D873" s="18"/>
    </row>
    <row r="874">
      <c r="B874" s="18"/>
      <c r="C874" s="19"/>
      <c r="D874" s="18"/>
    </row>
    <row r="875">
      <c r="B875" s="18"/>
      <c r="C875" s="19"/>
      <c r="D875" s="18"/>
    </row>
    <row r="876">
      <c r="B876" s="18"/>
      <c r="C876" s="19"/>
      <c r="D876" s="18"/>
    </row>
    <row r="877">
      <c r="B877" s="18"/>
      <c r="C877" s="19"/>
      <c r="D877" s="18"/>
    </row>
    <row r="878">
      <c r="B878" s="18"/>
      <c r="C878" s="19"/>
      <c r="D878" s="18"/>
    </row>
    <row r="879">
      <c r="B879" s="18"/>
      <c r="C879" s="19"/>
      <c r="D879" s="18"/>
    </row>
    <row r="880">
      <c r="B880" s="18"/>
      <c r="C880" s="19"/>
      <c r="D880" s="18"/>
    </row>
    <row r="881">
      <c r="B881" s="18"/>
      <c r="C881" s="19"/>
      <c r="D881" s="18"/>
    </row>
    <row r="882">
      <c r="B882" s="18"/>
      <c r="C882" s="19"/>
      <c r="D882" s="18"/>
    </row>
    <row r="883">
      <c r="B883" s="18"/>
      <c r="C883" s="19"/>
      <c r="D883" s="18"/>
    </row>
    <row r="884">
      <c r="B884" s="18"/>
      <c r="C884" s="19"/>
      <c r="D884" s="18"/>
    </row>
    <row r="885">
      <c r="B885" s="18"/>
      <c r="C885" s="19"/>
      <c r="D885" s="18"/>
    </row>
    <row r="886">
      <c r="B886" s="18"/>
      <c r="C886" s="19"/>
      <c r="D886" s="18"/>
    </row>
    <row r="887">
      <c r="B887" s="18"/>
      <c r="C887" s="19"/>
      <c r="D887" s="18"/>
    </row>
    <row r="888">
      <c r="B888" s="18"/>
      <c r="C888" s="19"/>
      <c r="D888" s="18"/>
    </row>
    <row r="889">
      <c r="B889" s="18"/>
      <c r="C889" s="19"/>
      <c r="D889" s="18"/>
    </row>
    <row r="890">
      <c r="B890" s="18"/>
      <c r="C890" s="19"/>
      <c r="D890" s="18"/>
    </row>
    <row r="891">
      <c r="B891" s="18"/>
      <c r="C891" s="19"/>
      <c r="D891" s="18"/>
    </row>
    <row r="892">
      <c r="B892" s="18"/>
      <c r="C892" s="19"/>
      <c r="D892" s="18"/>
    </row>
    <row r="893">
      <c r="B893" s="18"/>
      <c r="C893" s="19"/>
      <c r="D893" s="18"/>
    </row>
    <row r="894">
      <c r="B894" s="18"/>
      <c r="C894" s="19"/>
      <c r="D894" s="18"/>
    </row>
    <row r="895">
      <c r="B895" s="18"/>
      <c r="C895" s="19"/>
      <c r="D895" s="18"/>
    </row>
    <row r="896">
      <c r="B896" s="18"/>
      <c r="C896" s="19"/>
      <c r="D896" s="18"/>
    </row>
    <row r="897">
      <c r="B897" s="18"/>
      <c r="C897" s="19"/>
      <c r="D897" s="18"/>
    </row>
    <row r="898">
      <c r="B898" s="18"/>
      <c r="C898" s="19"/>
      <c r="D898" s="18"/>
    </row>
    <row r="899">
      <c r="B899" s="18"/>
      <c r="C899" s="19"/>
      <c r="D899" s="18"/>
    </row>
    <row r="900">
      <c r="B900" s="18"/>
      <c r="C900" s="19"/>
      <c r="D900" s="18"/>
    </row>
    <row r="901">
      <c r="B901" s="18"/>
      <c r="C901" s="19"/>
      <c r="D901" s="18"/>
    </row>
    <row r="902">
      <c r="B902" s="18"/>
      <c r="C902" s="19"/>
      <c r="D902" s="18"/>
    </row>
    <row r="903">
      <c r="B903" s="18"/>
      <c r="C903" s="19"/>
      <c r="D903" s="18"/>
    </row>
    <row r="904">
      <c r="B904" s="18"/>
      <c r="C904" s="19"/>
      <c r="D904" s="18"/>
    </row>
    <row r="905">
      <c r="B905" s="18"/>
      <c r="C905" s="19"/>
      <c r="D905" s="18"/>
    </row>
    <row r="906">
      <c r="B906" s="18"/>
      <c r="C906" s="19"/>
      <c r="D906" s="18"/>
    </row>
    <row r="907">
      <c r="B907" s="18"/>
      <c r="C907" s="19"/>
      <c r="D907" s="18"/>
    </row>
    <row r="908">
      <c r="B908" s="18"/>
      <c r="C908" s="19"/>
      <c r="D908" s="18"/>
    </row>
    <row r="909">
      <c r="B909" s="18"/>
      <c r="C909" s="19"/>
      <c r="D909" s="18"/>
    </row>
    <row r="910">
      <c r="B910" s="18"/>
      <c r="C910" s="19"/>
      <c r="D910" s="18"/>
    </row>
    <row r="911">
      <c r="B911" s="18"/>
      <c r="C911" s="19"/>
      <c r="D911" s="18"/>
    </row>
    <row r="912">
      <c r="B912" s="18"/>
      <c r="C912" s="19"/>
      <c r="D912" s="18"/>
    </row>
    <row r="913">
      <c r="B913" s="18"/>
      <c r="C913" s="19"/>
      <c r="D913" s="18"/>
    </row>
    <row r="914">
      <c r="B914" s="18"/>
      <c r="C914" s="19"/>
      <c r="D914" s="18"/>
    </row>
    <row r="915">
      <c r="B915" s="18"/>
      <c r="C915" s="19"/>
      <c r="D915" s="18"/>
    </row>
    <row r="916">
      <c r="B916" s="18"/>
      <c r="C916" s="19"/>
      <c r="D916" s="18"/>
    </row>
    <row r="917">
      <c r="B917" s="18"/>
      <c r="C917" s="19"/>
      <c r="D917" s="18"/>
    </row>
    <row r="918">
      <c r="B918" s="18"/>
      <c r="C918" s="19"/>
      <c r="D918" s="18"/>
    </row>
    <row r="919">
      <c r="B919" s="18"/>
      <c r="C919" s="19"/>
      <c r="D919" s="18"/>
    </row>
    <row r="920">
      <c r="B920" s="18"/>
      <c r="C920" s="19"/>
      <c r="D920" s="18"/>
    </row>
    <row r="921">
      <c r="B921" s="18"/>
      <c r="C921" s="19"/>
      <c r="D921" s="18"/>
    </row>
    <row r="922">
      <c r="B922" s="18"/>
      <c r="C922" s="19"/>
      <c r="D922" s="18"/>
    </row>
    <row r="923">
      <c r="B923" s="18"/>
      <c r="C923" s="19"/>
      <c r="D923" s="18"/>
    </row>
    <row r="924">
      <c r="B924" s="18"/>
      <c r="C924" s="19"/>
      <c r="D924" s="18"/>
    </row>
    <row r="925">
      <c r="B925" s="18"/>
      <c r="C925" s="19"/>
      <c r="D925" s="18"/>
    </row>
    <row r="926">
      <c r="B926" s="18"/>
      <c r="C926" s="19"/>
      <c r="D926" s="18"/>
    </row>
    <row r="927">
      <c r="B927" s="18"/>
      <c r="C927" s="19"/>
      <c r="D927" s="18"/>
    </row>
    <row r="928">
      <c r="B928" s="18"/>
      <c r="C928" s="19"/>
      <c r="D928" s="18"/>
    </row>
    <row r="929">
      <c r="B929" s="18"/>
      <c r="C929" s="19"/>
      <c r="D929" s="18"/>
    </row>
    <row r="930">
      <c r="B930" s="18"/>
      <c r="C930" s="19"/>
      <c r="D930" s="18"/>
    </row>
    <row r="931">
      <c r="B931" s="18"/>
      <c r="C931" s="19"/>
      <c r="D931" s="18"/>
    </row>
    <row r="932">
      <c r="B932" s="18"/>
      <c r="C932" s="19"/>
      <c r="D932" s="18"/>
    </row>
    <row r="933">
      <c r="B933" s="18"/>
      <c r="C933" s="19"/>
      <c r="D933" s="18"/>
    </row>
    <row r="934">
      <c r="B934" s="18"/>
      <c r="C934" s="19"/>
      <c r="D934" s="18"/>
    </row>
    <row r="935">
      <c r="B935" s="18"/>
      <c r="C935" s="19"/>
      <c r="D935" s="18"/>
    </row>
    <row r="936">
      <c r="B936" s="18"/>
      <c r="C936" s="19"/>
      <c r="D936" s="18"/>
    </row>
    <row r="937">
      <c r="B937" s="18"/>
      <c r="C937" s="19"/>
      <c r="D937" s="18"/>
    </row>
    <row r="938">
      <c r="B938" s="18"/>
      <c r="C938" s="19"/>
      <c r="D938" s="18"/>
    </row>
    <row r="939">
      <c r="B939" s="18"/>
      <c r="C939" s="19"/>
      <c r="D939" s="18"/>
    </row>
    <row r="940">
      <c r="B940" s="18"/>
      <c r="C940" s="19"/>
      <c r="D940" s="18"/>
    </row>
    <row r="941">
      <c r="B941" s="18"/>
      <c r="C941" s="19"/>
      <c r="D941" s="18"/>
    </row>
    <row r="942">
      <c r="B942" s="18"/>
      <c r="C942" s="19"/>
      <c r="D942" s="18"/>
    </row>
    <row r="943">
      <c r="B943" s="18"/>
      <c r="C943" s="19"/>
      <c r="D943" s="18"/>
    </row>
    <row r="944">
      <c r="B944" s="18"/>
      <c r="C944" s="19"/>
      <c r="D944" s="18"/>
    </row>
    <row r="945">
      <c r="B945" s="18"/>
      <c r="C945" s="19"/>
      <c r="D945" s="18"/>
    </row>
    <row r="946">
      <c r="B946" s="18"/>
      <c r="C946" s="19"/>
      <c r="D946" s="18"/>
    </row>
    <row r="947">
      <c r="B947" s="18"/>
      <c r="C947" s="19"/>
      <c r="D947" s="18"/>
    </row>
    <row r="948">
      <c r="B948" s="18"/>
      <c r="C948" s="19"/>
      <c r="D948" s="18"/>
    </row>
    <row r="949">
      <c r="B949" s="18"/>
      <c r="C949" s="19"/>
      <c r="D949" s="18"/>
    </row>
    <row r="950">
      <c r="B950" s="18"/>
      <c r="C950" s="19"/>
      <c r="D950" s="18"/>
    </row>
    <row r="951">
      <c r="B951" s="18"/>
      <c r="C951" s="19"/>
      <c r="D951" s="18"/>
    </row>
    <row r="952">
      <c r="B952" s="18"/>
      <c r="C952" s="19"/>
      <c r="D952" s="18"/>
    </row>
    <row r="953">
      <c r="B953" s="18"/>
      <c r="C953" s="19"/>
      <c r="D953" s="18"/>
    </row>
    <row r="954">
      <c r="B954" s="18"/>
      <c r="C954" s="19"/>
      <c r="D954" s="18"/>
    </row>
    <row r="955">
      <c r="B955" s="18"/>
      <c r="C955" s="19"/>
      <c r="D955" s="18"/>
    </row>
    <row r="956">
      <c r="B956" s="18"/>
      <c r="C956" s="19"/>
      <c r="D956" s="18"/>
    </row>
    <row r="957">
      <c r="B957" s="18"/>
      <c r="C957" s="19"/>
      <c r="D957" s="18"/>
    </row>
    <row r="958">
      <c r="B958" s="18"/>
      <c r="C958" s="19"/>
      <c r="D958" s="18"/>
    </row>
    <row r="959">
      <c r="B959" s="18"/>
      <c r="C959" s="19"/>
      <c r="D959" s="18"/>
    </row>
    <row r="960">
      <c r="B960" s="18"/>
      <c r="C960" s="19"/>
      <c r="D960" s="18"/>
    </row>
    <row r="961">
      <c r="B961" s="18"/>
      <c r="C961" s="19"/>
      <c r="D961" s="18"/>
    </row>
    <row r="962">
      <c r="B962" s="18"/>
      <c r="C962" s="19"/>
      <c r="D962" s="18"/>
    </row>
    <row r="963">
      <c r="B963" s="18"/>
      <c r="C963" s="19"/>
      <c r="D963" s="18"/>
    </row>
    <row r="964">
      <c r="B964" s="18"/>
      <c r="C964" s="19"/>
      <c r="D964" s="18"/>
    </row>
    <row r="965">
      <c r="B965" s="18"/>
      <c r="C965" s="19"/>
      <c r="D965" s="18"/>
    </row>
    <row r="966">
      <c r="B966" s="18"/>
      <c r="C966" s="19"/>
      <c r="D966" s="18"/>
    </row>
    <row r="967">
      <c r="B967" s="18"/>
      <c r="C967" s="19"/>
      <c r="D967" s="18"/>
    </row>
    <row r="968">
      <c r="B968" s="18"/>
      <c r="C968" s="19"/>
      <c r="D968" s="18"/>
    </row>
    <row r="969">
      <c r="B969" s="18"/>
      <c r="C969" s="19"/>
      <c r="D969" s="18"/>
    </row>
    <row r="970">
      <c r="B970" s="18"/>
      <c r="C970" s="19"/>
      <c r="D970" s="18"/>
    </row>
    <row r="971">
      <c r="B971" s="18"/>
      <c r="C971" s="19"/>
      <c r="D971" s="18"/>
    </row>
    <row r="972">
      <c r="B972" s="18"/>
      <c r="C972" s="19"/>
      <c r="D972" s="18"/>
    </row>
    <row r="973">
      <c r="B973" s="18"/>
      <c r="C973" s="19"/>
      <c r="D973" s="18"/>
    </row>
    <row r="974">
      <c r="B974" s="18"/>
      <c r="C974" s="19"/>
      <c r="D974" s="18"/>
    </row>
    <row r="975">
      <c r="B975" s="18"/>
      <c r="C975" s="19"/>
      <c r="D975" s="18"/>
    </row>
    <row r="976">
      <c r="B976" s="18"/>
      <c r="C976" s="19"/>
      <c r="D976" s="18"/>
    </row>
    <row r="977">
      <c r="B977" s="18"/>
      <c r="C977" s="19"/>
      <c r="D977" s="18"/>
    </row>
    <row r="978">
      <c r="B978" s="18"/>
      <c r="C978" s="19"/>
      <c r="D978" s="18"/>
    </row>
    <row r="979">
      <c r="B979" s="18"/>
      <c r="C979" s="19"/>
      <c r="D979" s="18"/>
    </row>
    <row r="980">
      <c r="B980" s="18"/>
      <c r="C980" s="19"/>
      <c r="D980" s="18"/>
    </row>
    <row r="981">
      <c r="B981" s="18"/>
      <c r="C981" s="19"/>
      <c r="D981" s="18"/>
    </row>
    <row r="982">
      <c r="B982" s="18"/>
      <c r="C982" s="19"/>
      <c r="D982" s="18"/>
    </row>
    <row r="983">
      <c r="B983" s="18"/>
      <c r="C983" s="19"/>
      <c r="D983" s="18"/>
    </row>
    <row r="984">
      <c r="B984" s="18"/>
      <c r="C984" s="19"/>
      <c r="D984" s="18"/>
    </row>
    <row r="985">
      <c r="B985" s="18"/>
      <c r="C985" s="19"/>
      <c r="D985" s="18"/>
    </row>
    <row r="986">
      <c r="B986" s="18"/>
      <c r="C986" s="19"/>
      <c r="D986" s="18"/>
    </row>
    <row r="987">
      <c r="B987" s="18"/>
      <c r="C987" s="19"/>
      <c r="D987" s="18"/>
    </row>
    <row r="988">
      <c r="B988" s="18"/>
      <c r="C988" s="19"/>
      <c r="D988" s="18"/>
    </row>
    <row r="989">
      <c r="B989" s="18"/>
      <c r="C989" s="19"/>
      <c r="D989" s="18"/>
    </row>
    <row r="990">
      <c r="B990" s="18"/>
      <c r="C990" s="19"/>
      <c r="D990" s="18"/>
    </row>
    <row r="991">
      <c r="B991" s="18"/>
      <c r="C991" s="19"/>
      <c r="D991" s="18"/>
    </row>
    <row r="992">
      <c r="B992" s="18"/>
      <c r="C992" s="19"/>
      <c r="D992" s="18"/>
    </row>
    <row r="993">
      <c r="B993" s="18"/>
      <c r="C993" s="19"/>
      <c r="D993" s="18"/>
    </row>
    <row r="994">
      <c r="B994" s="18"/>
      <c r="C994" s="19"/>
      <c r="D994" s="18"/>
    </row>
    <row r="995">
      <c r="B995" s="18"/>
      <c r="C995" s="19"/>
      <c r="D995" s="18"/>
    </row>
    <row r="996">
      <c r="B996" s="18"/>
      <c r="C996" s="19"/>
      <c r="D996" s="18"/>
    </row>
    <row r="997">
      <c r="B997" s="18"/>
      <c r="C997" s="19"/>
      <c r="D997" s="18"/>
    </row>
    <row r="998">
      <c r="B998" s="18"/>
      <c r="C998" s="19"/>
      <c r="D998" s="18"/>
    </row>
    <row r="999">
      <c r="B999" s="18"/>
      <c r="C999" s="19"/>
      <c r="D999" s="18"/>
    </row>
    <row r="1000">
      <c r="B1000" s="18"/>
      <c r="C1000" s="19"/>
      <c r="D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4" width="17.38"/>
  </cols>
  <sheetData>
    <row r="1">
      <c r="B1" s="18"/>
      <c r="C1" s="18"/>
      <c r="D1" s="18"/>
    </row>
    <row r="2">
      <c r="B2" s="20" t="s">
        <v>17</v>
      </c>
      <c r="C2" s="20" t="s">
        <v>15</v>
      </c>
      <c r="D2" s="20" t="s">
        <v>18</v>
      </c>
    </row>
    <row r="3">
      <c r="B3" s="18">
        <f t="array" ref="B3:B78">SEQUENCE(COUNTA(C3:C100),1)</f>
        <v>1</v>
      </c>
      <c r="C3" s="19">
        <f>IFERROR(__xludf.DUMMYFUNCTION("SORT(FILTER('Raw Schedule'!C3:C100,'Raw Schedule'!D3:D100 = ""Keep""))"),46113.0)</f>
        <v>46113</v>
      </c>
      <c r="D3" s="18" t="str">
        <f t="shared" ref="D3:D98" si="1">IF(C3 = MAX($C$3:$C$100), "Yes", "No")</f>
        <v>No</v>
      </c>
    </row>
    <row r="4">
      <c r="B4" s="18">
        <v>2.0</v>
      </c>
      <c r="C4" s="19">
        <f>IFERROR(__xludf.DUMMYFUNCTION("""COMPUTED_VALUE"""),46204.0)</f>
        <v>46204</v>
      </c>
      <c r="D4" s="18" t="str">
        <f t="shared" si="1"/>
        <v>No</v>
      </c>
    </row>
    <row r="5">
      <c r="B5" s="18">
        <v>3.0</v>
      </c>
      <c r="C5" s="19">
        <f>IFERROR(__xludf.DUMMYFUNCTION("""COMPUTED_VALUE"""),46296.0)</f>
        <v>46296</v>
      </c>
      <c r="D5" s="18" t="str">
        <f t="shared" si="1"/>
        <v>No</v>
      </c>
    </row>
    <row r="6">
      <c r="B6" s="18">
        <v>4.0</v>
      </c>
      <c r="C6" s="19">
        <f>IFERROR(__xludf.DUMMYFUNCTION("""COMPUTED_VALUE"""),46388.0)</f>
        <v>46388</v>
      </c>
      <c r="D6" s="18" t="str">
        <f t="shared" si="1"/>
        <v>No</v>
      </c>
    </row>
    <row r="7">
      <c r="B7" s="18">
        <v>5.0</v>
      </c>
      <c r="C7" s="19">
        <f>IFERROR(__xludf.DUMMYFUNCTION("""COMPUTED_VALUE"""),46478.0)</f>
        <v>46478</v>
      </c>
      <c r="D7" s="18" t="str">
        <f t="shared" si="1"/>
        <v>No</v>
      </c>
    </row>
    <row r="8">
      <c r="B8" s="18">
        <v>6.0</v>
      </c>
      <c r="C8" s="19">
        <f>IFERROR(__xludf.DUMMYFUNCTION("""COMPUTED_VALUE"""),46569.0)</f>
        <v>46569</v>
      </c>
      <c r="D8" s="18" t="str">
        <f t="shared" si="1"/>
        <v>No</v>
      </c>
    </row>
    <row r="9">
      <c r="B9" s="18">
        <v>7.0</v>
      </c>
      <c r="C9" s="19">
        <f>IFERROR(__xludf.DUMMYFUNCTION("""COMPUTED_VALUE"""),46661.0)</f>
        <v>46661</v>
      </c>
      <c r="D9" s="18" t="str">
        <f t="shared" si="1"/>
        <v>No</v>
      </c>
    </row>
    <row r="10">
      <c r="B10" s="18">
        <v>8.0</v>
      </c>
      <c r="C10" s="19">
        <f>IFERROR(__xludf.DUMMYFUNCTION("""COMPUTED_VALUE"""),46753.0)</f>
        <v>46753</v>
      </c>
      <c r="D10" s="18" t="str">
        <f t="shared" si="1"/>
        <v>No</v>
      </c>
    </row>
    <row r="11">
      <c r="B11" s="18">
        <v>9.0</v>
      </c>
      <c r="C11" s="19">
        <f>IFERROR(__xludf.DUMMYFUNCTION("""COMPUTED_VALUE"""),46844.0)</f>
        <v>46844</v>
      </c>
      <c r="D11" s="18" t="str">
        <f t="shared" si="1"/>
        <v>No</v>
      </c>
    </row>
    <row r="12">
      <c r="B12" s="18">
        <v>10.0</v>
      </c>
      <c r="C12" s="19">
        <f>IFERROR(__xludf.DUMMYFUNCTION("""COMPUTED_VALUE"""),46935.0)</f>
        <v>46935</v>
      </c>
      <c r="D12" s="18" t="str">
        <f t="shared" si="1"/>
        <v>No</v>
      </c>
    </row>
    <row r="13">
      <c r="B13" s="18">
        <v>11.0</v>
      </c>
      <c r="C13" s="19">
        <f>IFERROR(__xludf.DUMMYFUNCTION("""COMPUTED_VALUE"""),47027.0)</f>
        <v>47027</v>
      </c>
      <c r="D13" s="18" t="str">
        <f t="shared" si="1"/>
        <v>No</v>
      </c>
    </row>
    <row r="14">
      <c r="B14" s="18">
        <v>12.0</v>
      </c>
      <c r="C14" s="19">
        <f>IFERROR(__xludf.DUMMYFUNCTION("""COMPUTED_VALUE"""),47119.0)</f>
        <v>47119</v>
      </c>
      <c r="D14" s="18" t="str">
        <f t="shared" si="1"/>
        <v>No</v>
      </c>
    </row>
    <row r="15">
      <c r="B15" s="18">
        <v>13.0</v>
      </c>
      <c r="C15" s="19">
        <f>IFERROR(__xludf.DUMMYFUNCTION("""COMPUTED_VALUE"""),47209.0)</f>
        <v>47209</v>
      </c>
      <c r="D15" s="18" t="str">
        <f t="shared" si="1"/>
        <v>No</v>
      </c>
    </row>
    <row r="16">
      <c r="B16" s="18">
        <v>14.0</v>
      </c>
      <c r="C16" s="19">
        <f>IFERROR(__xludf.DUMMYFUNCTION("""COMPUTED_VALUE"""),47300.0)</f>
        <v>47300</v>
      </c>
      <c r="D16" s="18" t="str">
        <f t="shared" si="1"/>
        <v>No</v>
      </c>
    </row>
    <row r="17">
      <c r="B17" s="18">
        <v>15.0</v>
      </c>
      <c r="C17" s="19">
        <f>IFERROR(__xludf.DUMMYFUNCTION("""COMPUTED_VALUE"""),47392.0)</f>
        <v>47392</v>
      </c>
      <c r="D17" s="18" t="str">
        <f t="shared" si="1"/>
        <v>No</v>
      </c>
    </row>
    <row r="18">
      <c r="B18" s="18">
        <v>16.0</v>
      </c>
      <c r="C18" s="19">
        <f>IFERROR(__xludf.DUMMYFUNCTION("""COMPUTED_VALUE"""),47484.0)</f>
        <v>47484</v>
      </c>
      <c r="D18" s="18" t="str">
        <f t="shared" si="1"/>
        <v>No</v>
      </c>
    </row>
    <row r="19">
      <c r="B19" s="18">
        <v>17.0</v>
      </c>
      <c r="C19" s="19">
        <f>IFERROR(__xludf.DUMMYFUNCTION("""COMPUTED_VALUE"""),47574.0)</f>
        <v>47574</v>
      </c>
      <c r="D19" s="18" t="str">
        <f t="shared" si="1"/>
        <v>No</v>
      </c>
    </row>
    <row r="20">
      <c r="B20" s="18">
        <v>18.0</v>
      </c>
      <c r="C20" s="19">
        <f>IFERROR(__xludf.DUMMYFUNCTION("""COMPUTED_VALUE"""),47665.0)</f>
        <v>47665</v>
      </c>
      <c r="D20" s="18" t="str">
        <f t="shared" si="1"/>
        <v>No</v>
      </c>
    </row>
    <row r="21">
      <c r="B21" s="18">
        <v>19.0</v>
      </c>
      <c r="C21" s="19">
        <f>IFERROR(__xludf.DUMMYFUNCTION("""COMPUTED_VALUE"""),47757.0)</f>
        <v>47757</v>
      </c>
      <c r="D21" s="18" t="str">
        <f t="shared" si="1"/>
        <v>No</v>
      </c>
    </row>
    <row r="22">
      <c r="B22" s="18">
        <v>20.0</v>
      </c>
      <c r="C22" s="19">
        <f>IFERROR(__xludf.DUMMYFUNCTION("""COMPUTED_VALUE"""),47849.0)</f>
        <v>47849</v>
      </c>
      <c r="D22" s="18" t="str">
        <f t="shared" si="1"/>
        <v>No</v>
      </c>
    </row>
    <row r="23">
      <c r="B23" s="18">
        <v>21.0</v>
      </c>
      <c r="C23" s="19">
        <f>IFERROR(__xludf.DUMMYFUNCTION("""COMPUTED_VALUE"""),47939.0)</f>
        <v>47939</v>
      </c>
      <c r="D23" s="18" t="str">
        <f t="shared" si="1"/>
        <v>No</v>
      </c>
    </row>
    <row r="24">
      <c r="B24" s="18">
        <v>22.0</v>
      </c>
      <c r="C24" s="19">
        <f>IFERROR(__xludf.DUMMYFUNCTION("""COMPUTED_VALUE"""),48030.0)</f>
        <v>48030</v>
      </c>
      <c r="D24" s="18" t="str">
        <f t="shared" si="1"/>
        <v>No</v>
      </c>
    </row>
    <row r="25">
      <c r="B25" s="18">
        <v>23.0</v>
      </c>
      <c r="C25" s="19">
        <f>IFERROR(__xludf.DUMMYFUNCTION("""COMPUTED_VALUE"""),48122.0)</f>
        <v>48122</v>
      </c>
      <c r="D25" s="18" t="str">
        <f t="shared" si="1"/>
        <v>No</v>
      </c>
    </row>
    <row r="26">
      <c r="B26" s="18">
        <v>24.0</v>
      </c>
      <c r="C26" s="19">
        <f>IFERROR(__xludf.DUMMYFUNCTION("""COMPUTED_VALUE"""),48214.0)</f>
        <v>48214</v>
      </c>
      <c r="D26" s="18" t="str">
        <f t="shared" si="1"/>
        <v>No</v>
      </c>
    </row>
    <row r="27">
      <c r="B27" s="18">
        <v>25.0</v>
      </c>
      <c r="C27" s="19">
        <f>IFERROR(__xludf.DUMMYFUNCTION("""COMPUTED_VALUE"""),48305.0)</f>
        <v>48305</v>
      </c>
      <c r="D27" s="18" t="str">
        <f t="shared" si="1"/>
        <v>No</v>
      </c>
    </row>
    <row r="28">
      <c r="B28" s="18">
        <v>26.0</v>
      </c>
      <c r="C28" s="19">
        <f>IFERROR(__xludf.DUMMYFUNCTION("""COMPUTED_VALUE"""),48396.0)</f>
        <v>48396</v>
      </c>
      <c r="D28" s="18" t="str">
        <f t="shared" si="1"/>
        <v>No</v>
      </c>
    </row>
    <row r="29">
      <c r="B29" s="18">
        <v>27.0</v>
      </c>
      <c r="C29" s="19">
        <f>IFERROR(__xludf.DUMMYFUNCTION("""COMPUTED_VALUE"""),48488.0)</f>
        <v>48488</v>
      </c>
      <c r="D29" s="18" t="str">
        <f t="shared" si="1"/>
        <v>No</v>
      </c>
    </row>
    <row r="30">
      <c r="B30" s="18">
        <v>28.0</v>
      </c>
      <c r="C30" s="19">
        <f>IFERROR(__xludf.DUMMYFUNCTION("""COMPUTED_VALUE"""),48580.0)</f>
        <v>48580</v>
      </c>
      <c r="D30" s="18" t="str">
        <f t="shared" si="1"/>
        <v>No</v>
      </c>
    </row>
    <row r="31">
      <c r="B31" s="18">
        <v>29.0</v>
      </c>
      <c r="C31" s="19">
        <f>IFERROR(__xludf.DUMMYFUNCTION("""COMPUTED_VALUE"""),48670.0)</f>
        <v>48670</v>
      </c>
      <c r="D31" s="18" t="str">
        <f t="shared" si="1"/>
        <v>No</v>
      </c>
    </row>
    <row r="32">
      <c r="B32" s="18">
        <v>30.0</v>
      </c>
      <c r="C32" s="19">
        <f>IFERROR(__xludf.DUMMYFUNCTION("""COMPUTED_VALUE"""),48761.0)</f>
        <v>48761</v>
      </c>
      <c r="D32" s="18" t="str">
        <f t="shared" si="1"/>
        <v>No</v>
      </c>
    </row>
    <row r="33">
      <c r="B33" s="18">
        <v>31.0</v>
      </c>
      <c r="C33" s="19">
        <f>IFERROR(__xludf.DUMMYFUNCTION("""COMPUTED_VALUE"""),48853.0)</f>
        <v>48853</v>
      </c>
      <c r="D33" s="18" t="str">
        <f t="shared" si="1"/>
        <v>No</v>
      </c>
    </row>
    <row r="34">
      <c r="B34" s="18">
        <v>32.0</v>
      </c>
      <c r="C34" s="19">
        <f>IFERROR(__xludf.DUMMYFUNCTION("""COMPUTED_VALUE"""),48945.0)</f>
        <v>48945</v>
      </c>
      <c r="D34" s="18" t="str">
        <f t="shared" si="1"/>
        <v>No</v>
      </c>
    </row>
    <row r="35">
      <c r="B35" s="18">
        <v>33.0</v>
      </c>
      <c r="C35" s="19">
        <f>IFERROR(__xludf.DUMMYFUNCTION("""COMPUTED_VALUE"""),49035.0)</f>
        <v>49035</v>
      </c>
      <c r="D35" s="18" t="str">
        <f t="shared" si="1"/>
        <v>No</v>
      </c>
    </row>
    <row r="36">
      <c r="B36" s="18">
        <v>34.0</v>
      </c>
      <c r="C36" s="19">
        <f>IFERROR(__xludf.DUMMYFUNCTION("""COMPUTED_VALUE"""),49126.0)</f>
        <v>49126</v>
      </c>
      <c r="D36" s="18" t="str">
        <f t="shared" si="1"/>
        <v>No</v>
      </c>
    </row>
    <row r="37">
      <c r="B37" s="18">
        <v>35.0</v>
      </c>
      <c r="C37" s="19">
        <f>IFERROR(__xludf.DUMMYFUNCTION("""COMPUTED_VALUE"""),49218.0)</f>
        <v>49218</v>
      </c>
      <c r="D37" s="18" t="str">
        <f t="shared" si="1"/>
        <v>No</v>
      </c>
    </row>
    <row r="38">
      <c r="B38" s="18">
        <v>36.0</v>
      </c>
      <c r="C38" s="19">
        <f>IFERROR(__xludf.DUMMYFUNCTION("""COMPUTED_VALUE"""),49310.0)</f>
        <v>49310</v>
      </c>
      <c r="D38" s="18" t="str">
        <f t="shared" si="1"/>
        <v>No</v>
      </c>
    </row>
    <row r="39">
      <c r="B39" s="18">
        <v>37.0</v>
      </c>
      <c r="C39" s="19">
        <f>IFERROR(__xludf.DUMMYFUNCTION("""COMPUTED_VALUE"""),49400.0)</f>
        <v>49400</v>
      </c>
      <c r="D39" s="18" t="str">
        <f t="shared" si="1"/>
        <v>No</v>
      </c>
    </row>
    <row r="40">
      <c r="B40" s="18">
        <v>38.0</v>
      </c>
      <c r="C40" s="19">
        <f>IFERROR(__xludf.DUMMYFUNCTION("""COMPUTED_VALUE"""),49491.0)</f>
        <v>49491</v>
      </c>
      <c r="D40" s="18" t="str">
        <f t="shared" si="1"/>
        <v>No</v>
      </c>
    </row>
    <row r="41">
      <c r="B41" s="18">
        <v>39.0</v>
      </c>
      <c r="C41" s="19">
        <f>IFERROR(__xludf.DUMMYFUNCTION("""COMPUTED_VALUE"""),49583.0)</f>
        <v>49583</v>
      </c>
      <c r="D41" s="18" t="str">
        <f t="shared" si="1"/>
        <v>No</v>
      </c>
    </row>
    <row r="42">
      <c r="B42" s="18">
        <v>40.0</v>
      </c>
      <c r="C42" s="19">
        <f>IFERROR(__xludf.DUMMYFUNCTION("""COMPUTED_VALUE"""),49675.0)</f>
        <v>49675</v>
      </c>
      <c r="D42" s="18" t="str">
        <f t="shared" si="1"/>
        <v>No</v>
      </c>
    </row>
    <row r="43">
      <c r="B43" s="18">
        <v>41.0</v>
      </c>
      <c r="C43" s="19">
        <f>IFERROR(__xludf.DUMMYFUNCTION("""COMPUTED_VALUE"""),49766.0)</f>
        <v>49766</v>
      </c>
      <c r="D43" s="18" t="str">
        <f t="shared" si="1"/>
        <v>No</v>
      </c>
    </row>
    <row r="44">
      <c r="B44" s="18">
        <v>42.0</v>
      </c>
      <c r="C44" s="19">
        <f>IFERROR(__xludf.DUMMYFUNCTION("""COMPUTED_VALUE"""),49857.0)</f>
        <v>49857</v>
      </c>
      <c r="D44" s="18" t="str">
        <f t="shared" si="1"/>
        <v>No</v>
      </c>
    </row>
    <row r="45">
      <c r="B45" s="18">
        <v>43.0</v>
      </c>
      <c r="C45" s="19">
        <f>IFERROR(__xludf.DUMMYFUNCTION("""COMPUTED_VALUE"""),49949.0)</f>
        <v>49949</v>
      </c>
      <c r="D45" s="18" t="str">
        <f t="shared" si="1"/>
        <v>No</v>
      </c>
    </row>
    <row r="46">
      <c r="B46" s="18">
        <v>44.0</v>
      </c>
      <c r="C46" s="19">
        <f>IFERROR(__xludf.DUMMYFUNCTION("""COMPUTED_VALUE"""),50041.0)</f>
        <v>50041</v>
      </c>
      <c r="D46" s="18" t="str">
        <f t="shared" si="1"/>
        <v>No</v>
      </c>
    </row>
    <row r="47">
      <c r="B47" s="18">
        <v>45.0</v>
      </c>
      <c r="C47" s="19">
        <f>IFERROR(__xludf.DUMMYFUNCTION("""COMPUTED_VALUE"""),50131.0)</f>
        <v>50131</v>
      </c>
      <c r="D47" s="18" t="str">
        <f t="shared" si="1"/>
        <v>No</v>
      </c>
    </row>
    <row r="48">
      <c r="B48" s="18">
        <v>46.0</v>
      </c>
      <c r="C48" s="19">
        <f>IFERROR(__xludf.DUMMYFUNCTION("""COMPUTED_VALUE"""),50222.0)</f>
        <v>50222</v>
      </c>
      <c r="D48" s="18" t="str">
        <f t="shared" si="1"/>
        <v>No</v>
      </c>
    </row>
    <row r="49">
      <c r="B49" s="18">
        <v>47.0</v>
      </c>
      <c r="C49" s="19">
        <f>IFERROR(__xludf.DUMMYFUNCTION("""COMPUTED_VALUE"""),50314.0)</f>
        <v>50314</v>
      </c>
      <c r="D49" s="18" t="str">
        <f t="shared" si="1"/>
        <v>No</v>
      </c>
    </row>
    <row r="50">
      <c r="B50" s="18">
        <v>48.0</v>
      </c>
      <c r="C50" s="19">
        <f>IFERROR(__xludf.DUMMYFUNCTION("""COMPUTED_VALUE"""),50406.0)</f>
        <v>50406</v>
      </c>
      <c r="D50" s="18" t="str">
        <f t="shared" si="1"/>
        <v>No</v>
      </c>
    </row>
    <row r="51">
      <c r="B51" s="18">
        <v>49.0</v>
      </c>
      <c r="C51" s="19">
        <f>IFERROR(__xludf.DUMMYFUNCTION("""COMPUTED_VALUE"""),50496.0)</f>
        <v>50496</v>
      </c>
      <c r="D51" s="18" t="str">
        <f t="shared" si="1"/>
        <v>No</v>
      </c>
    </row>
    <row r="52">
      <c r="B52" s="18">
        <v>50.0</v>
      </c>
      <c r="C52" s="19">
        <f>IFERROR(__xludf.DUMMYFUNCTION("""COMPUTED_VALUE"""),50587.0)</f>
        <v>50587</v>
      </c>
      <c r="D52" s="18" t="str">
        <f t="shared" si="1"/>
        <v>No</v>
      </c>
    </row>
    <row r="53">
      <c r="B53" s="18">
        <v>51.0</v>
      </c>
      <c r="C53" s="19">
        <f>IFERROR(__xludf.DUMMYFUNCTION("""COMPUTED_VALUE"""),50679.0)</f>
        <v>50679</v>
      </c>
      <c r="D53" s="18" t="str">
        <f t="shared" si="1"/>
        <v>No</v>
      </c>
    </row>
    <row r="54">
      <c r="B54" s="18">
        <v>52.0</v>
      </c>
      <c r="C54" s="19">
        <f>IFERROR(__xludf.DUMMYFUNCTION("""COMPUTED_VALUE"""),50771.0)</f>
        <v>50771</v>
      </c>
      <c r="D54" s="18" t="str">
        <f t="shared" si="1"/>
        <v>No</v>
      </c>
    </row>
    <row r="55">
      <c r="B55" s="18">
        <v>53.0</v>
      </c>
      <c r="C55" s="19">
        <f>IFERROR(__xludf.DUMMYFUNCTION("""COMPUTED_VALUE"""),50861.0)</f>
        <v>50861</v>
      </c>
      <c r="D55" s="18" t="str">
        <f t="shared" si="1"/>
        <v>No</v>
      </c>
    </row>
    <row r="56">
      <c r="B56" s="18">
        <v>54.0</v>
      </c>
      <c r="C56" s="19">
        <f>IFERROR(__xludf.DUMMYFUNCTION("""COMPUTED_VALUE"""),50952.0)</f>
        <v>50952</v>
      </c>
      <c r="D56" s="18" t="str">
        <f t="shared" si="1"/>
        <v>No</v>
      </c>
    </row>
    <row r="57">
      <c r="B57" s="18">
        <v>55.0</v>
      </c>
      <c r="C57" s="19">
        <f>IFERROR(__xludf.DUMMYFUNCTION("""COMPUTED_VALUE"""),51044.0)</f>
        <v>51044</v>
      </c>
      <c r="D57" s="18" t="str">
        <f t="shared" si="1"/>
        <v>No</v>
      </c>
    </row>
    <row r="58">
      <c r="B58" s="18">
        <v>56.0</v>
      </c>
      <c r="C58" s="19">
        <f>IFERROR(__xludf.DUMMYFUNCTION("""COMPUTED_VALUE"""),51136.0)</f>
        <v>51136</v>
      </c>
      <c r="D58" s="18" t="str">
        <f t="shared" si="1"/>
        <v>No</v>
      </c>
    </row>
    <row r="59">
      <c r="B59" s="18">
        <v>57.0</v>
      </c>
      <c r="C59" s="19">
        <f>IFERROR(__xludf.DUMMYFUNCTION("""COMPUTED_VALUE"""),51227.0)</f>
        <v>51227</v>
      </c>
      <c r="D59" s="18" t="str">
        <f t="shared" si="1"/>
        <v>No</v>
      </c>
    </row>
    <row r="60">
      <c r="B60" s="18">
        <v>58.0</v>
      </c>
      <c r="C60" s="19">
        <f>IFERROR(__xludf.DUMMYFUNCTION("""COMPUTED_VALUE"""),51318.0)</f>
        <v>51318</v>
      </c>
      <c r="D60" s="18" t="str">
        <f t="shared" si="1"/>
        <v>No</v>
      </c>
    </row>
    <row r="61">
      <c r="B61" s="18">
        <v>59.0</v>
      </c>
      <c r="C61" s="19">
        <f>IFERROR(__xludf.DUMMYFUNCTION("""COMPUTED_VALUE"""),51410.0)</f>
        <v>51410</v>
      </c>
      <c r="D61" s="18" t="str">
        <f t="shared" si="1"/>
        <v>No</v>
      </c>
    </row>
    <row r="62">
      <c r="B62" s="18">
        <v>60.0</v>
      </c>
      <c r="C62" s="19">
        <f>IFERROR(__xludf.DUMMYFUNCTION("""COMPUTED_VALUE"""),51502.0)</f>
        <v>51502</v>
      </c>
      <c r="D62" s="18" t="str">
        <f t="shared" si="1"/>
        <v>No</v>
      </c>
    </row>
    <row r="63">
      <c r="B63" s="18">
        <v>61.0</v>
      </c>
      <c r="C63" s="19">
        <f>IFERROR(__xludf.DUMMYFUNCTION("""COMPUTED_VALUE"""),51592.0)</f>
        <v>51592</v>
      </c>
      <c r="D63" s="18" t="str">
        <f t="shared" si="1"/>
        <v>No</v>
      </c>
    </row>
    <row r="64">
      <c r="B64" s="18">
        <v>62.0</v>
      </c>
      <c r="C64" s="19">
        <f>IFERROR(__xludf.DUMMYFUNCTION("""COMPUTED_VALUE"""),51683.0)</f>
        <v>51683</v>
      </c>
      <c r="D64" s="18" t="str">
        <f t="shared" si="1"/>
        <v>No</v>
      </c>
    </row>
    <row r="65">
      <c r="B65" s="18">
        <v>63.0</v>
      </c>
      <c r="C65" s="19">
        <f>IFERROR(__xludf.DUMMYFUNCTION("""COMPUTED_VALUE"""),51775.0)</f>
        <v>51775</v>
      </c>
      <c r="D65" s="18" t="str">
        <f t="shared" si="1"/>
        <v>No</v>
      </c>
    </row>
    <row r="66">
      <c r="B66" s="18">
        <v>64.0</v>
      </c>
      <c r="C66" s="19">
        <f>IFERROR(__xludf.DUMMYFUNCTION("""COMPUTED_VALUE"""),51867.0)</f>
        <v>51867</v>
      </c>
      <c r="D66" s="18" t="str">
        <f t="shared" si="1"/>
        <v>No</v>
      </c>
    </row>
    <row r="67">
      <c r="B67" s="18">
        <v>65.0</v>
      </c>
      <c r="C67" s="19">
        <f>IFERROR(__xludf.DUMMYFUNCTION("""COMPUTED_VALUE"""),51957.0)</f>
        <v>51957</v>
      </c>
      <c r="D67" s="18" t="str">
        <f t="shared" si="1"/>
        <v>No</v>
      </c>
    </row>
    <row r="68">
      <c r="B68" s="18">
        <v>66.0</v>
      </c>
      <c r="C68" s="19">
        <f>IFERROR(__xludf.DUMMYFUNCTION("""COMPUTED_VALUE"""),52048.0)</f>
        <v>52048</v>
      </c>
      <c r="D68" s="18" t="str">
        <f t="shared" si="1"/>
        <v>No</v>
      </c>
    </row>
    <row r="69">
      <c r="B69" s="18">
        <v>67.0</v>
      </c>
      <c r="C69" s="19">
        <f>IFERROR(__xludf.DUMMYFUNCTION("""COMPUTED_VALUE"""),52140.0)</f>
        <v>52140</v>
      </c>
      <c r="D69" s="18" t="str">
        <f t="shared" si="1"/>
        <v>No</v>
      </c>
    </row>
    <row r="70">
      <c r="B70" s="18">
        <v>68.0</v>
      </c>
      <c r="C70" s="19">
        <f>IFERROR(__xludf.DUMMYFUNCTION("""COMPUTED_VALUE"""),52232.0)</f>
        <v>52232</v>
      </c>
      <c r="D70" s="18" t="str">
        <f t="shared" si="1"/>
        <v>No</v>
      </c>
    </row>
    <row r="71">
      <c r="B71" s="18">
        <v>69.0</v>
      </c>
      <c r="C71" s="19">
        <f>IFERROR(__xludf.DUMMYFUNCTION("""COMPUTED_VALUE"""),52322.0)</f>
        <v>52322</v>
      </c>
      <c r="D71" s="18" t="str">
        <f t="shared" si="1"/>
        <v>No</v>
      </c>
    </row>
    <row r="72">
      <c r="B72" s="18">
        <v>70.0</v>
      </c>
      <c r="C72" s="19">
        <f>IFERROR(__xludf.DUMMYFUNCTION("""COMPUTED_VALUE"""),52413.0)</f>
        <v>52413</v>
      </c>
      <c r="D72" s="18" t="str">
        <f t="shared" si="1"/>
        <v>No</v>
      </c>
    </row>
    <row r="73">
      <c r="B73" s="18">
        <v>71.0</v>
      </c>
      <c r="C73" s="19">
        <f>IFERROR(__xludf.DUMMYFUNCTION("""COMPUTED_VALUE"""),52505.0)</f>
        <v>52505</v>
      </c>
      <c r="D73" s="18" t="str">
        <f t="shared" si="1"/>
        <v>No</v>
      </c>
    </row>
    <row r="74">
      <c r="B74" s="18">
        <v>72.0</v>
      </c>
      <c r="C74" s="19">
        <f>IFERROR(__xludf.DUMMYFUNCTION("""COMPUTED_VALUE"""),52597.0)</f>
        <v>52597</v>
      </c>
      <c r="D74" s="18" t="str">
        <f t="shared" si="1"/>
        <v>No</v>
      </c>
    </row>
    <row r="75">
      <c r="B75" s="18">
        <v>73.0</v>
      </c>
      <c r="C75" s="19">
        <f>IFERROR(__xludf.DUMMYFUNCTION("""COMPUTED_VALUE"""),52688.0)</f>
        <v>52688</v>
      </c>
      <c r="D75" s="18" t="str">
        <f t="shared" si="1"/>
        <v>No</v>
      </c>
    </row>
    <row r="76">
      <c r="B76" s="18">
        <v>74.0</v>
      </c>
      <c r="C76" s="19">
        <f>IFERROR(__xludf.DUMMYFUNCTION("""COMPUTED_VALUE"""),52779.0)</f>
        <v>52779</v>
      </c>
      <c r="D76" s="18" t="str">
        <f t="shared" si="1"/>
        <v>No</v>
      </c>
    </row>
    <row r="77">
      <c r="B77" s="18">
        <v>75.0</v>
      </c>
      <c r="C77" s="19">
        <f>IFERROR(__xludf.DUMMYFUNCTION("""COMPUTED_VALUE"""),52871.0)</f>
        <v>52871</v>
      </c>
      <c r="D77" s="18" t="str">
        <f t="shared" si="1"/>
        <v>No</v>
      </c>
    </row>
    <row r="78">
      <c r="B78" s="18">
        <v>76.0</v>
      </c>
      <c r="C78" s="19">
        <f>IFERROR(__xludf.DUMMYFUNCTION("""COMPUTED_VALUE"""),52963.0)</f>
        <v>52963</v>
      </c>
      <c r="D78" s="18" t="str">
        <f t="shared" si="1"/>
        <v>Yes</v>
      </c>
    </row>
    <row r="79">
      <c r="B79" s="18"/>
      <c r="C79" s="18"/>
      <c r="D79" s="18" t="str">
        <f t="shared" si="1"/>
        <v>No</v>
      </c>
    </row>
    <row r="80">
      <c r="B80" s="18"/>
      <c r="C80" s="18"/>
      <c r="D80" s="18" t="str">
        <f t="shared" si="1"/>
        <v>No</v>
      </c>
    </row>
    <row r="81">
      <c r="B81" s="18"/>
      <c r="C81" s="18"/>
      <c r="D81" s="18" t="str">
        <f t="shared" si="1"/>
        <v>No</v>
      </c>
    </row>
    <row r="82">
      <c r="B82" s="18"/>
      <c r="C82" s="18"/>
      <c r="D82" s="18" t="str">
        <f t="shared" si="1"/>
        <v>No</v>
      </c>
    </row>
    <row r="83">
      <c r="B83" s="18"/>
      <c r="C83" s="18"/>
      <c r="D83" s="18" t="str">
        <f t="shared" si="1"/>
        <v>No</v>
      </c>
    </row>
    <row r="84">
      <c r="B84" s="18"/>
      <c r="C84" s="18"/>
      <c r="D84" s="18" t="str">
        <f t="shared" si="1"/>
        <v>No</v>
      </c>
    </row>
    <row r="85">
      <c r="B85" s="18"/>
      <c r="C85" s="18"/>
      <c r="D85" s="18" t="str">
        <f t="shared" si="1"/>
        <v>No</v>
      </c>
    </row>
    <row r="86">
      <c r="B86" s="18"/>
      <c r="C86" s="18"/>
      <c r="D86" s="18" t="str">
        <f t="shared" si="1"/>
        <v>No</v>
      </c>
    </row>
    <row r="87">
      <c r="B87" s="18"/>
      <c r="C87" s="18"/>
      <c r="D87" s="18" t="str">
        <f t="shared" si="1"/>
        <v>No</v>
      </c>
    </row>
    <row r="88">
      <c r="B88" s="18"/>
      <c r="C88" s="18"/>
      <c r="D88" s="18" t="str">
        <f t="shared" si="1"/>
        <v>No</v>
      </c>
    </row>
    <row r="89">
      <c r="B89" s="18"/>
      <c r="C89" s="18"/>
      <c r="D89" s="18" t="str">
        <f t="shared" si="1"/>
        <v>No</v>
      </c>
    </row>
    <row r="90">
      <c r="B90" s="18"/>
      <c r="C90" s="18"/>
      <c r="D90" s="18" t="str">
        <f t="shared" si="1"/>
        <v>No</v>
      </c>
    </row>
    <row r="91">
      <c r="B91" s="18"/>
      <c r="C91" s="18"/>
      <c r="D91" s="18" t="str">
        <f t="shared" si="1"/>
        <v>No</v>
      </c>
    </row>
    <row r="92">
      <c r="B92" s="18"/>
      <c r="C92" s="18"/>
      <c r="D92" s="18" t="str">
        <f t="shared" si="1"/>
        <v>No</v>
      </c>
    </row>
    <row r="93">
      <c r="B93" s="18"/>
      <c r="C93" s="18"/>
      <c r="D93" s="18" t="str">
        <f t="shared" si="1"/>
        <v>No</v>
      </c>
    </row>
    <row r="94">
      <c r="B94" s="18"/>
      <c r="C94" s="18"/>
      <c r="D94" s="18" t="str">
        <f t="shared" si="1"/>
        <v>No</v>
      </c>
    </row>
    <row r="95">
      <c r="B95" s="18"/>
      <c r="C95" s="18"/>
      <c r="D95" s="18" t="str">
        <f t="shared" si="1"/>
        <v>No</v>
      </c>
    </row>
    <row r="96">
      <c r="B96" s="18"/>
      <c r="C96" s="18"/>
      <c r="D96" s="18" t="str">
        <f t="shared" si="1"/>
        <v>No</v>
      </c>
    </row>
    <row r="97">
      <c r="B97" s="18"/>
      <c r="C97" s="18"/>
      <c r="D97" s="18" t="str">
        <f t="shared" si="1"/>
        <v>No</v>
      </c>
    </row>
    <row r="98">
      <c r="B98" s="18"/>
      <c r="C98" s="18"/>
      <c r="D98" s="18" t="str">
        <f t="shared" si="1"/>
        <v>No</v>
      </c>
    </row>
    <row r="99">
      <c r="B99" s="18"/>
      <c r="C99" s="18"/>
      <c r="D99" s="18"/>
    </row>
    <row r="100">
      <c r="B100" s="18"/>
      <c r="C100" s="18"/>
      <c r="D100" s="18"/>
    </row>
    <row r="101">
      <c r="B101" s="18"/>
      <c r="C101" s="18"/>
      <c r="D101" s="18"/>
    </row>
    <row r="102">
      <c r="B102" s="18"/>
      <c r="C102" s="18"/>
      <c r="D102" s="18"/>
    </row>
    <row r="103">
      <c r="B103" s="18"/>
      <c r="C103" s="18"/>
      <c r="D103" s="18"/>
    </row>
    <row r="104">
      <c r="B104" s="18"/>
      <c r="C104" s="18"/>
      <c r="D104" s="18"/>
    </row>
    <row r="105">
      <c r="B105" s="18"/>
      <c r="C105" s="18"/>
      <c r="D105" s="18"/>
    </row>
    <row r="106">
      <c r="B106" s="18"/>
      <c r="C106" s="18"/>
      <c r="D106" s="18"/>
    </row>
    <row r="107">
      <c r="B107" s="18"/>
      <c r="C107" s="18"/>
      <c r="D107" s="18"/>
    </row>
    <row r="108">
      <c r="B108" s="18"/>
      <c r="C108" s="18"/>
      <c r="D108" s="18"/>
    </row>
    <row r="109">
      <c r="B109" s="18"/>
      <c r="C109" s="18"/>
      <c r="D109" s="18"/>
    </row>
    <row r="110">
      <c r="B110" s="18"/>
      <c r="C110" s="18"/>
      <c r="D110" s="18"/>
    </row>
    <row r="111">
      <c r="B111" s="18"/>
      <c r="C111" s="18"/>
      <c r="D111" s="18"/>
    </row>
    <row r="112">
      <c r="B112" s="18"/>
      <c r="C112" s="18"/>
      <c r="D112" s="18"/>
    </row>
    <row r="113">
      <c r="B113" s="18"/>
      <c r="C113" s="18"/>
      <c r="D113" s="18"/>
    </row>
    <row r="114">
      <c r="B114" s="18"/>
      <c r="C114" s="18"/>
      <c r="D114" s="18"/>
    </row>
    <row r="115">
      <c r="B115" s="18"/>
      <c r="C115" s="18"/>
      <c r="D115" s="18"/>
    </row>
    <row r="116">
      <c r="B116" s="18"/>
      <c r="C116" s="18"/>
      <c r="D116" s="18"/>
    </row>
    <row r="117">
      <c r="B117" s="18"/>
      <c r="C117" s="18"/>
      <c r="D117" s="18"/>
    </row>
    <row r="118">
      <c r="B118" s="18"/>
      <c r="C118" s="18"/>
      <c r="D118" s="18"/>
    </row>
    <row r="119">
      <c r="B119" s="18"/>
      <c r="C119" s="18"/>
      <c r="D119" s="18"/>
    </row>
    <row r="120">
      <c r="B120" s="18"/>
      <c r="C120" s="18"/>
      <c r="D120" s="18"/>
    </row>
    <row r="121">
      <c r="B121" s="18"/>
      <c r="C121" s="18"/>
      <c r="D121" s="18"/>
    </row>
    <row r="122">
      <c r="B122" s="18"/>
      <c r="C122" s="18"/>
      <c r="D122" s="18"/>
    </row>
    <row r="123">
      <c r="B123" s="18"/>
      <c r="C123" s="18"/>
      <c r="D123" s="18"/>
    </row>
    <row r="124">
      <c r="B124" s="18"/>
      <c r="C124" s="18"/>
      <c r="D124" s="18"/>
    </row>
    <row r="125">
      <c r="B125" s="18"/>
      <c r="C125" s="18"/>
      <c r="D125" s="18"/>
    </row>
    <row r="126">
      <c r="B126" s="18"/>
      <c r="C126" s="18"/>
      <c r="D126" s="18"/>
    </row>
    <row r="127">
      <c r="B127" s="18"/>
      <c r="C127" s="18"/>
      <c r="D127" s="18"/>
    </row>
    <row r="128">
      <c r="B128" s="18"/>
      <c r="C128" s="18"/>
      <c r="D128" s="18"/>
    </row>
    <row r="129">
      <c r="B129" s="18"/>
      <c r="C129" s="18"/>
      <c r="D129" s="18"/>
    </row>
    <row r="130">
      <c r="B130" s="18"/>
      <c r="C130" s="18"/>
      <c r="D130" s="18"/>
    </row>
    <row r="131">
      <c r="B131" s="18"/>
      <c r="C131" s="18"/>
      <c r="D131" s="18"/>
    </row>
    <row r="132">
      <c r="B132" s="18"/>
      <c r="C132" s="18"/>
      <c r="D132" s="18"/>
    </row>
    <row r="133">
      <c r="B133" s="18"/>
      <c r="C133" s="18"/>
      <c r="D133" s="18"/>
    </row>
    <row r="134">
      <c r="B134" s="18"/>
      <c r="C134" s="18"/>
      <c r="D134" s="18"/>
    </row>
    <row r="135">
      <c r="B135" s="18"/>
      <c r="C135" s="18"/>
      <c r="D135" s="18"/>
    </row>
    <row r="136">
      <c r="B136" s="18"/>
      <c r="C136" s="18"/>
      <c r="D136" s="18"/>
    </row>
    <row r="137">
      <c r="B137" s="18"/>
      <c r="C137" s="18"/>
      <c r="D137" s="18"/>
    </row>
    <row r="138">
      <c r="B138" s="18"/>
      <c r="C138" s="18"/>
      <c r="D138" s="18"/>
    </row>
    <row r="139">
      <c r="B139" s="18"/>
      <c r="C139" s="18"/>
      <c r="D139" s="18"/>
    </row>
    <row r="140">
      <c r="B140" s="18"/>
      <c r="C140" s="18"/>
      <c r="D140" s="18"/>
    </row>
    <row r="141">
      <c r="B141" s="18"/>
      <c r="C141" s="18"/>
      <c r="D141" s="18"/>
    </row>
    <row r="142">
      <c r="B142" s="18"/>
      <c r="C142" s="18"/>
      <c r="D142" s="18"/>
    </row>
    <row r="143">
      <c r="B143" s="18"/>
      <c r="C143" s="18"/>
      <c r="D143" s="18"/>
    </row>
    <row r="144">
      <c r="B144" s="18"/>
      <c r="C144" s="18"/>
      <c r="D144" s="18"/>
    </row>
    <row r="145">
      <c r="B145" s="18"/>
      <c r="C145" s="18"/>
      <c r="D145" s="18"/>
    </row>
    <row r="146">
      <c r="B146" s="18"/>
      <c r="C146" s="18"/>
      <c r="D146" s="18"/>
    </row>
    <row r="147">
      <c r="B147" s="18"/>
      <c r="C147" s="18"/>
      <c r="D147" s="18"/>
    </row>
    <row r="148">
      <c r="B148" s="18"/>
      <c r="C148" s="18"/>
      <c r="D148" s="18"/>
    </row>
    <row r="149">
      <c r="B149" s="18"/>
      <c r="C149" s="18"/>
      <c r="D149" s="18"/>
    </row>
    <row r="150">
      <c r="B150" s="18"/>
      <c r="C150" s="18"/>
      <c r="D150" s="18"/>
    </row>
    <row r="151">
      <c r="B151" s="18"/>
      <c r="C151" s="18"/>
      <c r="D151" s="18"/>
    </row>
    <row r="152">
      <c r="B152" s="18"/>
      <c r="C152" s="18"/>
      <c r="D152" s="18"/>
    </row>
    <row r="153">
      <c r="B153" s="18"/>
      <c r="C153" s="18"/>
      <c r="D153" s="18"/>
    </row>
    <row r="154">
      <c r="B154" s="18"/>
      <c r="C154" s="18"/>
      <c r="D154" s="18"/>
    </row>
    <row r="155">
      <c r="B155" s="18"/>
      <c r="C155" s="18"/>
      <c r="D155" s="18"/>
    </row>
    <row r="156">
      <c r="B156" s="18"/>
      <c r="C156" s="18"/>
      <c r="D156" s="18"/>
    </row>
    <row r="157">
      <c r="B157" s="18"/>
      <c r="C157" s="18"/>
      <c r="D157" s="18"/>
    </row>
    <row r="158">
      <c r="B158" s="18"/>
      <c r="C158" s="18"/>
      <c r="D158" s="18"/>
    </row>
    <row r="159">
      <c r="B159" s="18"/>
      <c r="C159" s="18"/>
      <c r="D159" s="18"/>
    </row>
    <row r="160">
      <c r="B160" s="18"/>
      <c r="C160" s="18"/>
      <c r="D160" s="18"/>
    </row>
    <row r="161">
      <c r="B161" s="18"/>
      <c r="C161" s="18"/>
      <c r="D161" s="18"/>
    </row>
    <row r="162">
      <c r="B162" s="18"/>
      <c r="C162" s="18"/>
      <c r="D162" s="18"/>
    </row>
    <row r="163">
      <c r="B163" s="18"/>
      <c r="C163" s="18"/>
      <c r="D163" s="18"/>
    </row>
    <row r="164">
      <c r="B164" s="18"/>
      <c r="C164" s="18"/>
      <c r="D164" s="18"/>
    </row>
    <row r="165">
      <c r="B165" s="18"/>
      <c r="C165" s="18"/>
      <c r="D165" s="18"/>
    </row>
    <row r="166">
      <c r="B166" s="18"/>
      <c r="C166" s="18"/>
      <c r="D166" s="18"/>
    </row>
    <row r="167">
      <c r="B167" s="18"/>
      <c r="C167" s="18"/>
      <c r="D167" s="18"/>
    </row>
    <row r="168">
      <c r="B168" s="18"/>
      <c r="C168" s="18"/>
      <c r="D168" s="18"/>
    </row>
    <row r="169">
      <c r="B169" s="18"/>
      <c r="C169" s="18"/>
      <c r="D169" s="18"/>
    </row>
    <row r="170">
      <c r="B170" s="18"/>
      <c r="C170" s="18"/>
      <c r="D170" s="18"/>
    </row>
    <row r="171">
      <c r="B171" s="18"/>
      <c r="C171" s="18"/>
      <c r="D171" s="18"/>
    </row>
    <row r="172">
      <c r="B172" s="18"/>
      <c r="C172" s="18"/>
      <c r="D172" s="18"/>
    </row>
    <row r="173">
      <c r="B173" s="18"/>
      <c r="C173" s="18"/>
      <c r="D173" s="18"/>
    </row>
    <row r="174">
      <c r="B174" s="18"/>
      <c r="C174" s="18"/>
      <c r="D174" s="18"/>
    </row>
    <row r="175">
      <c r="B175" s="18"/>
      <c r="C175" s="18"/>
      <c r="D175" s="18"/>
    </row>
    <row r="176">
      <c r="B176" s="18"/>
      <c r="C176" s="18"/>
      <c r="D176" s="18"/>
    </row>
    <row r="177">
      <c r="B177" s="18"/>
      <c r="C177" s="18"/>
      <c r="D177" s="18"/>
    </row>
    <row r="178">
      <c r="B178" s="18"/>
      <c r="C178" s="18"/>
      <c r="D178" s="18"/>
    </row>
    <row r="179">
      <c r="B179" s="18"/>
      <c r="C179" s="18"/>
      <c r="D179" s="18"/>
    </row>
    <row r="180">
      <c r="B180" s="18"/>
      <c r="C180" s="18"/>
      <c r="D180" s="18"/>
    </row>
    <row r="181">
      <c r="B181" s="18"/>
      <c r="C181" s="18"/>
      <c r="D181" s="18"/>
    </row>
    <row r="182">
      <c r="B182" s="18"/>
      <c r="C182" s="18"/>
      <c r="D182" s="18"/>
    </row>
    <row r="183">
      <c r="B183" s="18"/>
      <c r="C183" s="18"/>
      <c r="D183" s="18"/>
    </row>
    <row r="184">
      <c r="B184" s="18"/>
      <c r="C184" s="18"/>
      <c r="D184" s="18"/>
    </row>
    <row r="185">
      <c r="B185" s="18"/>
      <c r="C185" s="18"/>
      <c r="D185" s="18"/>
    </row>
    <row r="186">
      <c r="B186" s="18"/>
      <c r="C186" s="18"/>
      <c r="D186" s="18"/>
    </row>
    <row r="187">
      <c r="B187" s="18"/>
      <c r="C187" s="18"/>
      <c r="D187" s="18"/>
    </row>
    <row r="188">
      <c r="B188" s="18"/>
      <c r="C188" s="18"/>
      <c r="D188" s="18"/>
    </row>
    <row r="189">
      <c r="B189" s="18"/>
      <c r="C189" s="18"/>
      <c r="D189" s="18"/>
    </row>
    <row r="190">
      <c r="B190" s="18"/>
      <c r="C190" s="18"/>
      <c r="D190" s="18"/>
    </row>
    <row r="191">
      <c r="B191" s="18"/>
      <c r="C191" s="18"/>
      <c r="D191" s="18"/>
    </row>
    <row r="192">
      <c r="B192" s="18"/>
      <c r="C192" s="18"/>
      <c r="D192" s="18"/>
    </row>
    <row r="193">
      <c r="B193" s="18"/>
      <c r="C193" s="18"/>
      <c r="D193" s="18"/>
    </row>
    <row r="194">
      <c r="B194" s="18"/>
      <c r="C194" s="18"/>
      <c r="D194" s="18"/>
    </row>
    <row r="195">
      <c r="B195" s="18"/>
      <c r="C195" s="18"/>
      <c r="D195" s="18"/>
    </row>
    <row r="196">
      <c r="B196" s="18"/>
      <c r="C196" s="18"/>
      <c r="D196" s="18"/>
    </row>
    <row r="197">
      <c r="B197" s="18"/>
      <c r="C197" s="18"/>
      <c r="D197" s="18"/>
    </row>
    <row r="198">
      <c r="B198" s="18"/>
      <c r="C198" s="18"/>
      <c r="D198" s="18"/>
    </row>
    <row r="199">
      <c r="B199" s="18"/>
      <c r="C199" s="18"/>
      <c r="D199" s="18"/>
    </row>
    <row r="200">
      <c r="B200" s="18"/>
      <c r="C200" s="18"/>
      <c r="D200" s="18"/>
    </row>
    <row r="201">
      <c r="B201" s="18"/>
      <c r="C201" s="18"/>
      <c r="D201" s="18"/>
    </row>
    <row r="202">
      <c r="B202" s="18"/>
      <c r="C202" s="18"/>
      <c r="D202" s="18"/>
    </row>
    <row r="203">
      <c r="B203" s="18"/>
      <c r="C203" s="18"/>
      <c r="D203" s="18"/>
    </row>
    <row r="204">
      <c r="B204" s="18"/>
      <c r="C204" s="18"/>
      <c r="D204" s="18"/>
    </row>
    <row r="205">
      <c r="B205" s="18"/>
      <c r="C205" s="18"/>
      <c r="D205" s="18"/>
    </row>
    <row r="206">
      <c r="B206" s="18"/>
      <c r="C206" s="18"/>
      <c r="D206" s="18"/>
    </row>
    <row r="207">
      <c r="B207" s="18"/>
      <c r="C207" s="18"/>
      <c r="D207" s="18"/>
    </row>
    <row r="208">
      <c r="B208" s="18"/>
      <c r="C208" s="18"/>
      <c r="D208" s="18"/>
    </row>
    <row r="209">
      <c r="B209" s="18"/>
      <c r="C209" s="18"/>
      <c r="D209" s="18"/>
    </row>
    <row r="210">
      <c r="B210" s="18"/>
      <c r="C210" s="18"/>
      <c r="D210" s="18"/>
    </row>
    <row r="211">
      <c r="B211" s="18"/>
      <c r="C211" s="18"/>
      <c r="D211" s="18"/>
    </row>
    <row r="212">
      <c r="B212" s="18"/>
      <c r="C212" s="18"/>
      <c r="D212" s="18"/>
    </row>
    <row r="213">
      <c r="B213" s="18"/>
      <c r="C213" s="18"/>
      <c r="D213" s="18"/>
    </row>
    <row r="214">
      <c r="B214" s="18"/>
      <c r="C214" s="18"/>
      <c r="D214" s="18"/>
    </row>
    <row r="215">
      <c r="B215" s="18"/>
      <c r="C215" s="18"/>
      <c r="D215" s="18"/>
    </row>
    <row r="216">
      <c r="B216" s="18"/>
      <c r="C216" s="18"/>
      <c r="D216" s="18"/>
    </row>
    <row r="217">
      <c r="B217" s="18"/>
      <c r="C217" s="18"/>
      <c r="D217" s="18"/>
    </row>
    <row r="218">
      <c r="B218" s="18"/>
      <c r="C218" s="18"/>
      <c r="D218" s="18"/>
    </row>
    <row r="219">
      <c r="B219" s="18"/>
      <c r="C219" s="18"/>
      <c r="D219" s="18"/>
    </row>
    <row r="220">
      <c r="B220" s="18"/>
      <c r="C220" s="18"/>
      <c r="D220" s="18"/>
    </row>
    <row r="221">
      <c r="B221" s="18"/>
      <c r="C221" s="18"/>
      <c r="D221" s="18"/>
    </row>
    <row r="222">
      <c r="B222" s="18"/>
      <c r="C222" s="18"/>
      <c r="D222" s="18"/>
    </row>
    <row r="223">
      <c r="B223" s="18"/>
      <c r="C223" s="18"/>
      <c r="D223" s="18"/>
    </row>
    <row r="224">
      <c r="B224" s="18"/>
      <c r="C224" s="18"/>
      <c r="D224" s="18"/>
    </row>
    <row r="225">
      <c r="B225" s="18"/>
      <c r="C225" s="18"/>
      <c r="D225" s="18"/>
    </row>
    <row r="226">
      <c r="B226" s="18"/>
      <c r="C226" s="18"/>
      <c r="D226" s="18"/>
    </row>
    <row r="227">
      <c r="B227" s="18"/>
      <c r="C227" s="18"/>
      <c r="D227" s="18"/>
    </row>
    <row r="228">
      <c r="B228" s="18"/>
      <c r="C228" s="18"/>
      <c r="D228" s="18"/>
    </row>
    <row r="229">
      <c r="B229" s="18"/>
      <c r="C229" s="18"/>
      <c r="D229" s="18"/>
    </row>
    <row r="230">
      <c r="B230" s="18"/>
      <c r="C230" s="18"/>
      <c r="D230" s="18"/>
    </row>
    <row r="231">
      <c r="B231" s="18"/>
      <c r="C231" s="18"/>
      <c r="D231" s="18"/>
    </row>
    <row r="232">
      <c r="B232" s="18"/>
      <c r="C232" s="18"/>
      <c r="D232" s="18"/>
    </row>
    <row r="233">
      <c r="B233" s="18"/>
      <c r="C233" s="18"/>
      <c r="D233" s="18"/>
    </row>
    <row r="234">
      <c r="B234" s="18"/>
      <c r="C234" s="18"/>
      <c r="D234" s="18"/>
    </row>
    <row r="235">
      <c r="B235" s="18"/>
      <c r="C235" s="18"/>
      <c r="D235" s="18"/>
    </row>
    <row r="236">
      <c r="B236" s="18"/>
      <c r="C236" s="18"/>
      <c r="D236" s="18"/>
    </row>
    <row r="237">
      <c r="B237" s="18"/>
      <c r="C237" s="18"/>
      <c r="D237" s="18"/>
    </row>
    <row r="238">
      <c r="B238" s="18"/>
      <c r="C238" s="18"/>
      <c r="D238" s="18"/>
    </row>
    <row r="239">
      <c r="B239" s="18"/>
      <c r="C239" s="18"/>
      <c r="D239" s="18"/>
    </row>
    <row r="240">
      <c r="B240" s="18"/>
      <c r="C240" s="18"/>
      <c r="D240" s="18"/>
    </row>
    <row r="241">
      <c r="B241" s="18"/>
      <c r="C241" s="18"/>
      <c r="D241" s="18"/>
    </row>
    <row r="242">
      <c r="B242" s="18"/>
      <c r="C242" s="18"/>
      <c r="D242" s="18"/>
    </row>
    <row r="243">
      <c r="B243" s="18"/>
      <c r="C243" s="18"/>
      <c r="D243" s="18"/>
    </row>
    <row r="244">
      <c r="B244" s="18"/>
      <c r="C244" s="18"/>
      <c r="D244" s="18"/>
    </row>
    <row r="245">
      <c r="B245" s="18"/>
      <c r="C245" s="18"/>
      <c r="D245" s="18"/>
    </row>
    <row r="246">
      <c r="B246" s="18"/>
      <c r="C246" s="18"/>
      <c r="D246" s="18"/>
    </row>
    <row r="247">
      <c r="B247" s="18"/>
      <c r="C247" s="18"/>
      <c r="D247" s="18"/>
    </row>
    <row r="248">
      <c r="B248" s="18"/>
      <c r="C248" s="18"/>
      <c r="D248" s="18"/>
    </row>
    <row r="249">
      <c r="B249" s="18"/>
      <c r="C249" s="18"/>
      <c r="D249" s="18"/>
    </row>
    <row r="250">
      <c r="B250" s="18"/>
      <c r="C250" s="18"/>
      <c r="D250" s="18"/>
    </row>
    <row r="251">
      <c r="B251" s="18"/>
      <c r="C251" s="18"/>
      <c r="D251" s="18"/>
    </row>
    <row r="252">
      <c r="B252" s="18"/>
      <c r="C252" s="18"/>
      <c r="D252" s="18"/>
    </row>
    <row r="253">
      <c r="B253" s="18"/>
      <c r="C253" s="18"/>
      <c r="D253" s="18"/>
    </row>
    <row r="254">
      <c r="B254" s="18"/>
      <c r="C254" s="18"/>
      <c r="D254" s="18"/>
    </row>
    <row r="255">
      <c r="B255" s="18"/>
      <c r="C255" s="18"/>
      <c r="D255" s="18"/>
    </row>
    <row r="256">
      <c r="B256" s="18"/>
      <c r="C256" s="18"/>
      <c r="D256" s="18"/>
    </row>
    <row r="257">
      <c r="B257" s="18"/>
      <c r="C257" s="18"/>
      <c r="D257" s="18"/>
    </row>
    <row r="258">
      <c r="B258" s="18"/>
      <c r="C258" s="18"/>
      <c r="D258" s="18"/>
    </row>
    <row r="259">
      <c r="B259" s="18"/>
      <c r="C259" s="18"/>
      <c r="D259" s="18"/>
    </row>
    <row r="260">
      <c r="B260" s="18"/>
      <c r="C260" s="18"/>
      <c r="D260" s="18"/>
    </row>
    <row r="261">
      <c r="B261" s="18"/>
      <c r="C261" s="18"/>
      <c r="D261" s="18"/>
    </row>
    <row r="262">
      <c r="B262" s="18"/>
      <c r="C262" s="18"/>
      <c r="D262" s="18"/>
    </row>
    <row r="263">
      <c r="B263" s="18"/>
      <c r="C263" s="18"/>
      <c r="D263" s="18"/>
    </row>
    <row r="264">
      <c r="B264" s="18"/>
      <c r="C264" s="18"/>
      <c r="D264" s="18"/>
    </row>
    <row r="265">
      <c r="B265" s="18"/>
      <c r="C265" s="18"/>
      <c r="D265" s="18"/>
    </row>
    <row r="266">
      <c r="B266" s="18"/>
      <c r="C266" s="18"/>
      <c r="D266" s="18"/>
    </row>
    <row r="267">
      <c r="B267" s="18"/>
      <c r="C267" s="18"/>
      <c r="D267" s="18"/>
    </row>
    <row r="268">
      <c r="B268" s="18"/>
      <c r="C268" s="18"/>
      <c r="D268" s="18"/>
    </row>
    <row r="269">
      <c r="B269" s="18"/>
      <c r="C269" s="18"/>
      <c r="D269" s="18"/>
    </row>
    <row r="270">
      <c r="B270" s="18"/>
      <c r="C270" s="18"/>
      <c r="D270" s="18"/>
    </row>
    <row r="271">
      <c r="B271" s="18"/>
      <c r="C271" s="18"/>
      <c r="D271" s="18"/>
    </row>
    <row r="272">
      <c r="B272" s="18"/>
      <c r="C272" s="18"/>
      <c r="D272" s="18"/>
    </row>
    <row r="273">
      <c r="B273" s="18"/>
      <c r="C273" s="18"/>
      <c r="D273" s="18"/>
    </row>
    <row r="274">
      <c r="B274" s="18"/>
      <c r="C274" s="18"/>
      <c r="D274" s="18"/>
    </row>
    <row r="275">
      <c r="B275" s="18"/>
      <c r="C275" s="18"/>
      <c r="D275" s="18"/>
    </row>
    <row r="276">
      <c r="B276" s="18"/>
      <c r="C276" s="18"/>
      <c r="D276" s="18"/>
    </row>
    <row r="277">
      <c r="B277" s="18"/>
      <c r="C277" s="18"/>
      <c r="D277" s="18"/>
    </row>
    <row r="278">
      <c r="B278" s="18"/>
      <c r="C278" s="18"/>
      <c r="D278" s="18"/>
    </row>
    <row r="279">
      <c r="B279" s="18"/>
      <c r="C279" s="18"/>
      <c r="D279" s="18"/>
    </row>
    <row r="280">
      <c r="B280" s="18"/>
      <c r="C280" s="18"/>
      <c r="D280" s="18"/>
    </row>
    <row r="281">
      <c r="B281" s="18"/>
      <c r="C281" s="18"/>
      <c r="D281" s="18"/>
    </row>
    <row r="282">
      <c r="B282" s="18"/>
      <c r="C282" s="18"/>
      <c r="D282" s="18"/>
    </row>
    <row r="283">
      <c r="B283" s="18"/>
      <c r="C283" s="18"/>
      <c r="D283" s="18"/>
    </row>
    <row r="284">
      <c r="B284" s="18"/>
      <c r="C284" s="18"/>
      <c r="D284" s="18"/>
    </row>
    <row r="285">
      <c r="B285" s="18"/>
      <c r="C285" s="18"/>
      <c r="D285" s="18"/>
    </row>
    <row r="286">
      <c r="B286" s="18"/>
      <c r="C286" s="18"/>
      <c r="D286" s="18"/>
    </row>
    <row r="287">
      <c r="B287" s="18"/>
      <c r="C287" s="18"/>
      <c r="D287" s="18"/>
    </row>
    <row r="288">
      <c r="B288" s="18"/>
      <c r="C288" s="18"/>
      <c r="D288" s="18"/>
    </row>
    <row r="289">
      <c r="B289" s="18"/>
      <c r="C289" s="18"/>
      <c r="D289" s="18"/>
    </row>
    <row r="290">
      <c r="B290" s="18"/>
      <c r="C290" s="18"/>
      <c r="D290" s="18"/>
    </row>
    <row r="291">
      <c r="B291" s="18"/>
      <c r="C291" s="18"/>
      <c r="D291" s="18"/>
    </row>
    <row r="292">
      <c r="B292" s="18"/>
      <c r="C292" s="18"/>
      <c r="D292" s="18"/>
    </row>
    <row r="293">
      <c r="B293" s="18"/>
      <c r="C293" s="18"/>
      <c r="D293" s="18"/>
    </row>
    <row r="294">
      <c r="B294" s="18"/>
      <c r="C294" s="18"/>
      <c r="D294" s="18"/>
    </row>
    <row r="295">
      <c r="B295" s="18"/>
      <c r="C295" s="18"/>
      <c r="D295" s="18"/>
    </row>
    <row r="296">
      <c r="B296" s="18"/>
      <c r="C296" s="18"/>
      <c r="D296" s="18"/>
    </row>
    <row r="297">
      <c r="B297" s="18"/>
      <c r="C297" s="18"/>
      <c r="D297" s="18"/>
    </row>
    <row r="298">
      <c r="B298" s="18"/>
      <c r="C298" s="18"/>
      <c r="D298" s="18"/>
    </row>
    <row r="299">
      <c r="B299" s="18"/>
      <c r="C299" s="18"/>
      <c r="D299" s="18"/>
    </row>
    <row r="300">
      <c r="B300" s="18"/>
      <c r="C300" s="18"/>
      <c r="D300" s="18"/>
    </row>
    <row r="301">
      <c r="B301" s="18"/>
      <c r="C301" s="18"/>
      <c r="D301" s="18"/>
    </row>
    <row r="302">
      <c r="B302" s="18"/>
      <c r="C302" s="18"/>
      <c r="D302" s="18"/>
    </row>
    <row r="303">
      <c r="B303" s="18"/>
      <c r="C303" s="18"/>
      <c r="D303" s="18"/>
    </row>
    <row r="304">
      <c r="B304" s="18"/>
      <c r="C304" s="18"/>
      <c r="D304" s="18"/>
    </row>
    <row r="305">
      <c r="B305" s="18"/>
      <c r="C305" s="18"/>
      <c r="D305" s="18"/>
    </row>
    <row r="306">
      <c r="B306" s="18"/>
      <c r="C306" s="18"/>
      <c r="D306" s="18"/>
    </row>
    <row r="307">
      <c r="B307" s="18"/>
      <c r="C307" s="18"/>
      <c r="D307" s="18"/>
    </row>
    <row r="308">
      <c r="B308" s="18"/>
      <c r="C308" s="18"/>
      <c r="D308" s="18"/>
    </row>
    <row r="309">
      <c r="B309" s="18"/>
      <c r="C309" s="18"/>
      <c r="D309" s="18"/>
    </row>
    <row r="310">
      <c r="B310" s="18"/>
      <c r="C310" s="18"/>
      <c r="D310" s="18"/>
    </row>
    <row r="311">
      <c r="B311" s="18"/>
      <c r="C311" s="18"/>
      <c r="D311" s="18"/>
    </row>
    <row r="312">
      <c r="B312" s="18"/>
      <c r="C312" s="18"/>
      <c r="D312" s="18"/>
    </row>
    <row r="313">
      <c r="B313" s="18"/>
      <c r="C313" s="18"/>
      <c r="D313" s="18"/>
    </row>
    <row r="314">
      <c r="B314" s="18"/>
      <c r="C314" s="18"/>
      <c r="D314" s="18"/>
    </row>
    <row r="315">
      <c r="B315" s="18"/>
      <c r="C315" s="18"/>
      <c r="D315" s="18"/>
    </row>
    <row r="316">
      <c r="B316" s="18"/>
      <c r="C316" s="18"/>
      <c r="D316" s="18"/>
    </row>
    <row r="317">
      <c r="B317" s="18"/>
      <c r="C317" s="18"/>
      <c r="D317" s="18"/>
    </row>
    <row r="318">
      <c r="B318" s="18"/>
      <c r="C318" s="18"/>
      <c r="D318" s="18"/>
    </row>
    <row r="319">
      <c r="B319" s="18"/>
      <c r="C319" s="18"/>
      <c r="D319" s="18"/>
    </row>
    <row r="320">
      <c r="B320" s="18"/>
      <c r="C320" s="18"/>
      <c r="D320" s="18"/>
    </row>
    <row r="321">
      <c r="B321" s="18"/>
      <c r="C321" s="18"/>
      <c r="D321" s="18"/>
    </row>
    <row r="322">
      <c r="B322" s="18"/>
      <c r="C322" s="18"/>
      <c r="D322" s="18"/>
    </row>
    <row r="323">
      <c r="B323" s="18"/>
      <c r="C323" s="18"/>
      <c r="D323" s="18"/>
    </row>
    <row r="324">
      <c r="B324" s="18"/>
      <c r="C324" s="18"/>
      <c r="D324" s="18"/>
    </row>
    <row r="325">
      <c r="B325" s="18"/>
      <c r="C325" s="18"/>
      <c r="D325" s="18"/>
    </row>
    <row r="326">
      <c r="B326" s="18"/>
      <c r="C326" s="18"/>
      <c r="D326" s="18"/>
    </row>
    <row r="327">
      <c r="B327" s="18"/>
      <c r="C327" s="18"/>
      <c r="D327" s="18"/>
    </row>
    <row r="328">
      <c r="B328" s="18"/>
      <c r="C328" s="18"/>
      <c r="D328" s="18"/>
    </row>
    <row r="329">
      <c r="B329" s="18"/>
      <c r="C329" s="18"/>
      <c r="D329" s="18"/>
    </row>
    <row r="330">
      <c r="B330" s="18"/>
      <c r="C330" s="18"/>
      <c r="D330" s="18"/>
    </row>
    <row r="331">
      <c r="B331" s="18"/>
      <c r="C331" s="18"/>
      <c r="D331" s="18"/>
    </row>
    <row r="332">
      <c r="B332" s="18"/>
      <c r="C332" s="18"/>
      <c r="D332" s="18"/>
    </row>
    <row r="333">
      <c r="B333" s="18"/>
      <c r="C333" s="18"/>
      <c r="D333" s="18"/>
    </row>
    <row r="334">
      <c r="B334" s="18"/>
      <c r="C334" s="18"/>
      <c r="D334" s="18"/>
    </row>
    <row r="335">
      <c r="B335" s="18"/>
      <c r="C335" s="18"/>
      <c r="D335" s="18"/>
    </row>
    <row r="336">
      <c r="B336" s="18"/>
      <c r="C336" s="18"/>
      <c r="D336" s="18"/>
    </row>
    <row r="337">
      <c r="B337" s="18"/>
      <c r="C337" s="18"/>
      <c r="D337" s="18"/>
    </row>
    <row r="338">
      <c r="B338" s="18"/>
      <c r="C338" s="18"/>
      <c r="D338" s="18"/>
    </row>
    <row r="339">
      <c r="B339" s="18"/>
      <c r="C339" s="18"/>
      <c r="D339" s="18"/>
    </row>
    <row r="340">
      <c r="B340" s="18"/>
      <c r="C340" s="18"/>
      <c r="D340" s="18"/>
    </row>
    <row r="341">
      <c r="B341" s="18"/>
      <c r="C341" s="18"/>
      <c r="D341" s="18"/>
    </row>
    <row r="342">
      <c r="B342" s="18"/>
      <c r="C342" s="18"/>
      <c r="D342" s="18"/>
    </row>
    <row r="343">
      <c r="B343" s="18"/>
      <c r="C343" s="18"/>
      <c r="D343" s="18"/>
    </row>
    <row r="344">
      <c r="B344" s="18"/>
      <c r="C344" s="18"/>
      <c r="D344" s="18"/>
    </row>
    <row r="345">
      <c r="B345" s="18"/>
      <c r="C345" s="18"/>
      <c r="D345" s="18"/>
    </row>
    <row r="346">
      <c r="B346" s="18"/>
      <c r="C346" s="18"/>
      <c r="D346" s="18"/>
    </row>
    <row r="347">
      <c r="B347" s="18"/>
      <c r="C347" s="18"/>
      <c r="D347" s="18"/>
    </row>
    <row r="348">
      <c r="B348" s="18"/>
      <c r="C348" s="18"/>
      <c r="D348" s="18"/>
    </row>
    <row r="349">
      <c r="B349" s="18"/>
      <c r="C349" s="18"/>
      <c r="D349" s="18"/>
    </row>
    <row r="350">
      <c r="B350" s="18"/>
      <c r="C350" s="18"/>
      <c r="D350" s="18"/>
    </row>
    <row r="351">
      <c r="B351" s="18"/>
      <c r="C351" s="18"/>
      <c r="D351" s="18"/>
    </row>
    <row r="352">
      <c r="B352" s="18"/>
      <c r="C352" s="18"/>
      <c r="D352" s="18"/>
    </row>
    <row r="353">
      <c r="B353" s="18"/>
      <c r="C353" s="18"/>
      <c r="D353" s="18"/>
    </row>
    <row r="354">
      <c r="B354" s="18"/>
      <c r="C354" s="18"/>
      <c r="D354" s="18"/>
    </row>
    <row r="355">
      <c r="B355" s="18"/>
      <c r="C355" s="18"/>
      <c r="D355" s="18"/>
    </row>
    <row r="356">
      <c r="B356" s="18"/>
      <c r="C356" s="18"/>
      <c r="D356" s="18"/>
    </row>
    <row r="357">
      <c r="B357" s="18"/>
      <c r="C357" s="18"/>
      <c r="D357" s="18"/>
    </row>
    <row r="358">
      <c r="B358" s="18"/>
      <c r="C358" s="18"/>
      <c r="D358" s="18"/>
    </row>
    <row r="359">
      <c r="B359" s="18"/>
      <c r="C359" s="18"/>
      <c r="D359" s="18"/>
    </row>
    <row r="360">
      <c r="B360" s="18"/>
      <c r="C360" s="18"/>
      <c r="D360" s="18"/>
    </row>
    <row r="361">
      <c r="B361" s="18"/>
      <c r="C361" s="18"/>
      <c r="D361" s="18"/>
    </row>
    <row r="362">
      <c r="B362" s="18"/>
      <c r="C362" s="18"/>
      <c r="D362" s="18"/>
    </row>
    <row r="363">
      <c r="B363" s="18"/>
      <c r="C363" s="18"/>
      <c r="D363" s="18"/>
    </row>
    <row r="364">
      <c r="B364" s="18"/>
      <c r="C364" s="18"/>
      <c r="D364" s="18"/>
    </row>
    <row r="365">
      <c r="B365" s="18"/>
      <c r="C365" s="18"/>
      <c r="D365" s="18"/>
    </row>
    <row r="366">
      <c r="B366" s="18"/>
      <c r="C366" s="18"/>
      <c r="D366" s="18"/>
    </row>
    <row r="367">
      <c r="B367" s="18"/>
      <c r="C367" s="18"/>
      <c r="D367" s="18"/>
    </row>
    <row r="368">
      <c r="B368" s="18"/>
      <c r="C368" s="18"/>
      <c r="D368" s="18"/>
    </row>
    <row r="369">
      <c r="B369" s="18"/>
      <c r="C369" s="18"/>
      <c r="D369" s="18"/>
    </row>
    <row r="370">
      <c r="B370" s="18"/>
      <c r="C370" s="18"/>
      <c r="D370" s="18"/>
    </row>
    <row r="371">
      <c r="B371" s="18"/>
      <c r="C371" s="18"/>
      <c r="D371" s="18"/>
    </row>
    <row r="372">
      <c r="B372" s="18"/>
      <c r="C372" s="18"/>
      <c r="D372" s="18"/>
    </row>
    <row r="373">
      <c r="B373" s="18"/>
      <c r="C373" s="18"/>
      <c r="D373" s="18"/>
    </row>
    <row r="374">
      <c r="B374" s="18"/>
      <c r="C374" s="18"/>
      <c r="D374" s="18"/>
    </row>
    <row r="375">
      <c r="B375" s="18"/>
      <c r="C375" s="18"/>
      <c r="D375" s="18"/>
    </row>
    <row r="376">
      <c r="B376" s="18"/>
      <c r="C376" s="18"/>
      <c r="D376" s="18"/>
    </row>
    <row r="377">
      <c r="B377" s="18"/>
      <c r="C377" s="18"/>
      <c r="D377" s="18"/>
    </row>
    <row r="378">
      <c r="B378" s="18"/>
      <c r="C378" s="18"/>
      <c r="D378" s="18"/>
    </row>
    <row r="379">
      <c r="B379" s="18"/>
      <c r="C379" s="18"/>
      <c r="D379" s="18"/>
    </row>
    <row r="380">
      <c r="B380" s="18"/>
      <c r="C380" s="18"/>
      <c r="D380" s="18"/>
    </row>
    <row r="381">
      <c r="B381" s="18"/>
      <c r="C381" s="18"/>
      <c r="D381" s="18"/>
    </row>
    <row r="382">
      <c r="B382" s="18"/>
      <c r="C382" s="18"/>
      <c r="D382" s="18"/>
    </row>
    <row r="383">
      <c r="B383" s="18"/>
      <c r="C383" s="18"/>
      <c r="D383" s="18"/>
    </row>
    <row r="384">
      <c r="B384" s="18"/>
      <c r="C384" s="18"/>
      <c r="D384" s="18"/>
    </row>
    <row r="385">
      <c r="B385" s="18"/>
      <c r="C385" s="18"/>
      <c r="D385" s="18"/>
    </row>
    <row r="386">
      <c r="B386" s="18"/>
      <c r="C386" s="18"/>
      <c r="D386" s="18"/>
    </row>
    <row r="387">
      <c r="B387" s="18"/>
      <c r="C387" s="18"/>
      <c r="D387" s="18"/>
    </row>
    <row r="388">
      <c r="B388" s="18"/>
      <c r="C388" s="18"/>
      <c r="D388" s="18"/>
    </row>
    <row r="389">
      <c r="B389" s="18"/>
      <c r="C389" s="18"/>
      <c r="D389" s="18"/>
    </row>
    <row r="390">
      <c r="B390" s="18"/>
      <c r="C390" s="18"/>
      <c r="D390" s="18"/>
    </row>
    <row r="391">
      <c r="B391" s="18"/>
      <c r="C391" s="18"/>
      <c r="D391" s="18"/>
    </row>
    <row r="392">
      <c r="B392" s="18"/>
      <c r="C392" s="18"/>
      <c r="D392" s="18"/>
    </row>
    <row r="393">
      <c r="B393" s="18"/>
      <c r="C393" s="18"/>
      <c r="D393" s="18"/>
    </row>
    <row r="394">
      <c r="B394" s="18"/>
      <c r="C394" s="18"/>
      <c r="D394" s="18"/>
    </row>
    <row r="395">
      <c r="B395" s="18"/>
      <c r="C395" s="18"/>
      <c r="D395" s="18"/>
    </row>
    <row r="396">
      <c r="B396" s="18"/>
      <c r="C396" s="18"/>
      <c r="D396" s="18"/>
    </row>
    <row r="397">
      <c r="B397" s="18"/>
      <c r="C397" s="18"/>
      <c r="D397" s="18"/>
    </row>
    <row r="398">
      <c r="B398" s="18"/>
      <c r="C398" s="18"/>
      <c r="D398" s="18"/>
    </row>
    <row r="399">
      <c r="B399" s="18"/>
      <c r="C399" s="18"/>
      <c r="D399" s="18"/>
    </row>
    <row r="400">
      <c r="B400" s="18"/>
      <c r="C400" s="18"/>
      <c r="D400" s="18"/>
    </row>
    <row r="401">
      <c r="B401" s="18"/>
      <c r="C401" s="18"/>
      <c r="D401" s="18"/>
    </row>
    <row r="402">
      <c r="B402" s="18"/>
      <c r="C402" s="18"/>
      <c r="D402" s="18"/>
    </row>
    <row r="403">
      <c r="B403" s="18"/>
      <c r="C403" s="18"/>
      <c r="D403" s="18"/>
    </row>
    <row r="404">
      <c r="B404" s="18"/>
      <c r="C404" s="18"/>
      <c r="D404" s="18"/>
    </row>
    <row r="405">
      <c r="B405" s="18"/>
      <c r="C405" s="18"/>
      <c r="D405" s="18"/>
    </row>
    <row r="406">
      <c r="B406" s="18"/>
      <c r="C406" s="18"/>
      <c r="D406" s="18"/>
    </row>
    <row r="407">
      <c r="B407" s="18"/>
      <c r="C407" s="18"/>
      <c r="D407" s="18"/>
    </row>
    <row r="408">
      <c r="B408" s="18"/>
      <c r="C408" s="18"/>
      <c r="D408" s="18"/>
    </row>
    <row r="409">
      <c r="B409" s="18"/>
      <c r="C409" s="18"/>
      <c r="D409" s="18"/>
    </row>
    <row r="410">
      <c r="B410" s="18"/>
      <c r="C410" s="18"/>
      <c r="D410" s="18"/>
    </row>
    <row r="411">
      <c r="B411" s="18"/>
      <c r="C411" s="18"/>
      <c r="D411" s="18"/>
    </row>
    <row r="412">
      <c r="B412" s="18"/>
      <c r="C412" s="18"/>
      <c r="D412" s="18"/>
    </row>
    <row r="413">
      <c r="B413" s="18"/>
      <c r="C413" s="18"/>
      <c r="D413" s="18"/>
    </row>
    <row r="414">
      <c r="B414" s="18"/>
      <c r="C414" s="18"/>
      <c r="D414" s="18"/>
    </row>
    <row r="415">
      <c r="B415" s="18"/>
      <c r="C415" s="18"/>
      <c r="D415" s="18"/>
    </row>
    <row r="416">
      <c r="B416" s="18"/>
      <c r="C416" s="18"/>
      <c r="D416" s="18"/>
    </row>
    <row r="417">
      <c r="B417" s="18"/>
      <c r="C417" s="18"/>
      <c r="D417" s="18"/>
    </row>
    <row r="418">
      <c r="B418" s="18"/>
      <c r="C418" s="18"/>
      <c r="D418" s="18"/>
    </row>
    <row r="419">
      <c r="B419" s="18"/>
      <c r="C419" s="18"/>
      <c r="D419" s="18"/>
    </row>
    <row r="420">
      <c r="B420" s="18"/>
      <c r="C420" s="18"/>
      <c r="D420" s="18"/>
    </row>
    <row r="421">
      <c r="B421" s="18"/>
      <c r="C421" s="18"/>
      <c r="D421" s="18"/>
    </row>
    <row r="422">
      <c r="B422" s="18"/>
      <c r="C422" s="18"/>
      <c r="D422" s="18"/>
    </row>
    <row r="423">
      <c r="B423" s="18"/>
      <c r="C423" s="18"/>
      <c r="D423" s="18"/>
    </row>
    <row r="424">
      <c r="B424" s="18"/>
      <c r="C424" s="18"/>
      <c r="D424" s="18"/>
    </row>
    <row r="425">
      <c r="B425" s="18"/>
      <c r="C425" s="18"/>
      <c r="D425" s="18"/>
    </row>
    <row r="426">
      <c r="B426" s="18"/>
      <c r="C426" s="18"/>
      <c r="D426" s="18"/>
    </row>
    <row r="427">
      <c r="B427" s="18"/>
      <c r="C427" s="18"/>
      <c r="D427" s="18"/>
    </row>
    <row r="428">
      <c r="B428" s="18"/>
      <c r="C428" s="18"/>
      <c r="D428" s="18"/>
    </row>
    <row r="429">
      <c r="B429" s="18"/>
      <c r="C429" s="18"/>
      <c r="D429" s="18"/>
    </row>
    <row r="430">
      <c r="B430" s="18"/>
      <c r="C430" s="18"/>
      <c r="D430" s="18"/>
    </row>
    <row r="431">
      <c r="B431" s="18"/>
      <c r="C431" s="18"/>
      <c r="D431" s="18"/>
    </row>
    <row r="432">
      <c r="B432" s="18"/>
      <c r="C432" s="18"/>
      <c r="D432" s="18"/>
    </row>
    <row r="433">
      <c r="B433" s="18"/>
      <c r="C433" s="18"/>
      <c r="D433" s="18"/>
    </row>
    <row r="434">
      <c r="B434" s="18"/>
      <c r="C434" s="18"/>
      <c r="D434" s="18"/>
    </row>
    <row r="435">
      <c r="B435" s="18"/>
      <c r="C435" s="18"/>
      <c r="D435" s="18"/>
    </row>
    <row r="436">
      <c r="B436" s="18"/>
      <c r="C436" s="18"/>
      <c r="D436" s="18"/>
    </row>
    <row r="437">
      <c r="B437" s="18"/>
      <c r="C437" s="18"/>
      <c r="D437" s="18"/>
    </row>
    <row r="438">
      <c r="B438" s="18"/>
      <c r="C438" s="18"/>
      <c r="D438" s="18"/>
    </row>
    <row r="439">
      <c r="B439" s="18"/>
      <c r="C439" s="18"/>
      <c r="D439" s="18"/>
    </row>
    <row r="440">
      <c r="B440" s="18"/>
      <c r="C440" s="18"/>
      <c r="D440" s="18"/>
    </row>
    <row r="441">
      <c r="B441" s="18"/>
      <c r="C441" s="18"/>
      <c r="D441" s="18"/>
    </row>
    <row r="442">
      <c r="B442" s="18"/>
      <c r="C442" s="18"/>
      <c r="D442" s="18"/>
    </row>
    <row r="443">
      <c r="B443" s="18"/>
      <c r="C443" s="18"/>
      <c r="D443" s="18"/>
    </row>
    <row r="444">
      <c r="B444" s="18"/>
      <c r="C444" s="18"/>
      <c r="D444" s="18"/>
    </row>
    <row r="445">
      <c r="B445" s="18"/>
      <c r="C445" s="18"/>
      <c r="D445" s="18"/>
    </row>
    <row r="446">
      <c r="B446" s="18"/>
      <c r="C446" s="18"/>
      <c r="D446" s="18"/>
    </row>
    <row r="447">
      <c r="B447" s="18"/>
      <c r="C447" s="18"/>
      <c r="D447" s="18"/>
    </row>
    <row r="448">
      <c r="B448" s="18"/>
      <c r="C448" s="18"/>
      <c r="D448" s="18"/>
    </row>
    <row r="449">
      <c r="B449" s="18"/>
      <c r="C449" s="18"/>
      <c r="D449" s="18"/>
    </row>
    <row r="450">
      <c r="B450" s="18"/>
      <c r="C450" s="18"/>
      <c r="D450" s="18"/>
    </row>
    <row r="451">
      <c r="B451" s="18"/>
      <c r="C451" s="18"/>
      <c r="D451" s="18"/>
    </row>
    <row r="452">
      <c r="B452" s="18"/>
      <c r="C452" s="18"/>
      <c r="D452" s="18"/>
    </row>
    <row r="453">
      <c r="B453" s="18"/>
      <c r="C453" s="18"/>
      <c r="D453" s="18"/>
    </row>
    <row r="454">
      <c r="B454" s="18"/>
      <c r="C454" s="18"/>
      <c r="D454" s="18"/>
    </row>
    <row r="455">
      <c r="B455" s="18"/>
      <c r="C455" s="18"/>
      <c r="D455" s="18"/>
    </row>
    <row r="456">
      <c r="B456" s="18"/>
      <c r="C456" s="18"/>
      <c r="D456" s="18"/>
    </row>
    <row r="457">
      <c r="B457" s="18"/>
      <c r="C457" s="18"/>
      <c r="D457" s="18"/>
    </row>
    <row r="458">
      <c r="B458" s="18"/>
      <c r="C458" s="18"/>
      <c r="D458" s="18"/>
    </row>
    <row r="459">
      <c r="B459" s="18"/>
      <c r="C459" s="18"/>
      <c r="D459" s="18"/>
    </row>
    <row r="460">
      <c r="B460" s="18"/>
      <c r="C460" s="18"/>
      <c r="D460" s="18"/>
    </row>
    <row r="461">
      <c r="B461" s="18"/>
      <c r="C461" s="18"/>
      <c r="D461" s="18"/>
    </row>
    <row r="462">
      <c r="B462" s="18"/>
      <c r="C462" s="18"/>
      <c r="D462" s="18"/>
    </row>
    <row r="463">
      <c r="B463" s="18"/>
      <c r="C463" s="18"/>
      <c r="D463" s="18"/>
    </row>
    <row r="464">
      <c r="B464" s="18"/>
      <c r="C464" s="18"/>
      <c r="D464" s="18"/>
    </row>
    <row r="465">
      <c r="B465" s="18"/>
      <c r="C465" s="18"/>
      <c r="D465" s="18"/>
    </row>
    <row r="466">
      <c r="B466" s="18"/>
      <c r="C466" s="18"/>
      <c r="D466" s="18"/>
    </row>
    <row r="467">
      <c r="B467" s="18"/>
      <c r="C467" s="18"/>
      <c r="D467" s="18"/>
    </row>
    <row r="468">
      <c r="B468" s="18"/>
      <c r="C468" s="18"/>
      <c r="D468" s="18"/>
    </row>
    <row r="469">
      <c r="B469" s="18"/>
      <c r="C469" s="18"/>
      <c r="D469" s="18"/>
    </row>
    <row r="470">
      <c r="B470" s="18"/>
      <c r="C470" s="18"/>
      <c r="D470" s="18"/>
    </row>
    <row r="471">
      <c r="B471" s="18"/>
      <c r="C471" s="18"/>
      <c r="D471" s="18"/>
    </row>
    <row r="472">
      <c r="B472" s="18"/>
      <c r="C472" s="18"/>
      <c r="D472" s="18"/>
    </row>
    <row r="473">
      <c r="B473" s="18"/>
      <c r="C473" s="18"/>
      <c r="D473" s="18"/>
    </row>
    <row r="474">
      <c r="B474" s="18"/>
      <c r="C474" s="18"/>
      <c r="D474" s="18"/>
    </row>
    <row r="475">
      <c r="B475" s="18"/>
      <c r="C475" s="18"/>
      <c r="D475" s="18"/>
    </row>
    <row r="476">
      <c r="B476" s="18"/>
      <c r="C476" s="18"/>
      <c r="D476" s="18"/>
    </row>
    <row r="477">
      <c r="B477" s="18"/>
      <c r="C477" s="18"/>
      <c r="D477" s="18"/>
    </row>
    <row r="478">
      <c r="B478" s="18"/>
      <c r="C478" s="18"/>
      <c r="D478" s="18"/>
    </row>
    <row r="479">
      <c r="B479" s="18"/>
      <c r="C479" s="18"/>
      <c r="D479" s="18"/>
    </row>
    <row r="480">
      <c r="B480" s="18"/>
      <c r="C480" s="18"/>
      <c r="D480" s="18"/>
    </row>
    <row r="481">
      <c r="B481" s="18"/>
      <c r="C481" s="18"/>
      <c r="D481" s="18"/>
    </row>
    <row r="482">
      <c r="B482" s="18"/>
      <c r="C482" s="18"/>
      <c r="D482" s="18"/>
    </row>
    <row r="483">
      <c r="B483" s="18"/>
      <c r="C483" s="18"/>
      <c r="D483" s="18"/>
    </row>
    <row r="484">
      <c r="B484" s="18"/>
      <c r="C484" s="18"/>
      <c r="D484" s="18"/>
    </row>
    <row r="485">
      <c r="B485" s="18"/>
      <c r="C485" s="18"/>
      <c r="D485" s="18"/>
    </row>
    <row r="486">
      <c r="B486" s="18"/>
      <c r="C486" s="18"/>
      <c r="D486" s="18"/>
    </row>
    <row r="487">
      <c r="B487" s="18"/>
      <c r="C487" s="18"/>
      <c r="D487" s="18"/>
    </row>
    <row r="488">
      <c r="B488" s="18"/>
      <c r="C488" s="18"/>
      <c r="D488" s="18"/>
    </row>
    <row r="489">
      <c r="B489" s="18"/>
      <c r="C489" s="18"/>
      <c r="D489" s="18"/>
    </row>
    <row r="490">
      <c r="B490" s="18"/>
      <c r="C490" s="18"/>
      <c r="D490" s="18"/>
    </row>
    <row r="491">
      <c r="B491" s="18"/>
      <c r="C491" s="18"/>
      <c r="D491" s="18"/>
    </row>
    <row r="492">
      <c r="B492" s="18"/>
      <c r="C492" s="18"/>
      <c r="D492" s="18"/>
    </row>
    <row r="493">
      <c r="B493" s="18"/>
      <c r="C493" s="18"/>
      <c r="D493" s="18"/>
    </row>
    <row r="494">
      <c r="B494" s="18"/>
      <c r="C494" s="18"/>
      <c r="D494" s="18"/>
    </row>
    <row r="495">
      <c r="B495" s="18"/>
      <c r="C495" s="18"/>
      <c r="D495" s="18"/>
    </row>
    <row r="496">
      <c r="B496" s="18"/>
      <c r="C496" s="18"/>
      <c r="D496" s="18"/>
    </row>
    <row r="497">
      <c r="B497" s="18"/>
      <c r="C497" s="18"/>
      <c r="D497" s="18"/>
    </row>
    <row r="498">
      <c r="B498" s="18"/>
      <c r="C498" s="18"/>
      <c r="D498" s="18"/>
    </row>
    <row r="499">
      <c r="B499" s="18"/>
      <c r="C499" s="18"/>
      <c r="D499" s="18"/>
    </row>
    <row r="500">
      <c r="B500" s="18"/>
      <c r="C500" s="18"/>
      <c r="D500" s="18"/>
    </row>
    <row r="501">
      <c r="B501" s="18"/>
      <c r="C501" s="18"/>
      <c r="D501" s="18"/>
    </row>
    <row r="502">
      <c r="B502" s="18"/>
      <c r="C502" s="18"/>
      <c r="D502" s="18"/>
    </row>
    <row r="503">
      <c r="B503" s="18"/>
      <c r="C503" s="18"/>
      <c r="D503" s="18"/>
    </row>
    <row r="504">
      <c r="B504" s="18"/>
      <c r="C504" s="18"/>
      <c r="D504" s="18"/>
    </row>
    <row r="505">
      <c r="B505" s="18"/>
      <c r="C505" s="18"/>
      <c r="D505" s="18"/>
    </row>
    <row r="506">
      <c r="B506" s="18"/>
      <c r="C506" s="18"/>
      <c r="D506" s="18"/>
    </row>
    <row r="507">
      <c r="B507" s="18"/>
      <c r="C507" s="18"/>
      <c r="D507" s="18"/>
    </row>
    <row r="508">
      <c r="B508" s="18"/>
      <c r="C508" s="18"/>
      <c r="D508" s="18"/>
    </row>
    <row r="509">
      <c r="B509" s="18"/>
      <c r="C509" s="18"/>
      <c r="D509" s="18"/>
    </row>
    <row r="510">
      <c r="B510" s="18"/>
      <c r="C510" s="18"/>
      <c r="D510" s="18"/>
    </row>
    <row r="511">
      <c r="B511" s="18"/>
      <c r="C511" s="18"/>
      <c r="D511" s="18"/>
    </row>
    <row r="512">
      <c r="B512" s="18"/>
      <c r="C512" s="18"/>
      <c r="D512" s="18"/>
    </row>
    <row r="513">
      <c r="B513" s="18"/>
      <c r="C513" s="18"/>
      <c r="D513" s="18"/>
    </row>
    <row r="514">
      <c r="B514" s="18"/>
      <c r="C514" s="18"/>
      <c r="D514" s="18"/>
    </row>
    <row r="515">
      <c r="B515" s="18"/>
      <c r="C515" s="18"/>
      <c r="D515" s="18"/>
    </row>
    <row r="516">
      <c r="B516" s="18"/>
      <c r="C516" s="18"/>
      <c r="D516" s="18"/>
    </row>
    <row r="517">
      <c r="B517" s="18"/>
      <c r="C517" s="18"/>
      <c r="D517" s="18"/>
    </row>
    <row r="518">
      <c r="B518" s="18"/>
      <c r="C518" s="18"/>
      <c r="D518" s="18"/>
    </row>
    <row r="519">
      <c r="B519" s="18"/>
      <c r="C519" s="18"/>
      <c r="D519" s="18"/>
    </row>
    <row r="520">
      <c r="B520" s="18"/>
      <c r="C520" s="18"/>
      <c r="D520" s="18"/>
    </row>
    <row r="521">
      <c r="B521" s="18"/>
      <c r="C521" s="18"/>
      <c r="D521" s="18"/>
    </row>
    <row r="522">
      <c r="B522" s="18"/>
      <c r="C522" s="18"/>
      <c r="D522" s="18"/>
    </row>
    <row r="523">
      <c r="B523" s="18"/>
      <c r="C523" s="18"/>
      <c r="D523" s="18"/>
    </row>
    <row r="524">
      <c r="B524" s="18"/>
      <c r="C524" s="18"/>
      <c r="D524" s="18"/>
    </row>
    <row r="525">
      <c r="B525" s="18"/>
      <c r="C525" s="18"/>
      <c r="D525" s="18"/>
    </row>
    <row r="526">
      <c r="B526" s="18"/>
      <c r="C526" s="18"/>
      <c r="D526" s="18"/>
    </row>
    <row r="527">
      <c r="B527" s="18"/>
      <c r="C527" s="18"/>
      <c r="D527" s="18"/>
    </row>
    <row r="528">
      <c r="B528" s="18"/>
      <c r="C528" s="18"/>
      <c r="D528" s="18"/>
    </row>
    <row r="529">
      <c r="B529" s="18"/>
      <c r="C529" s="18"/>
      <c r="D529" s="18"/>
    </row>
    <row r="530">
      <c r="B530" s="18"/>
      <c r="C530" s="18"/>
      <c r="D530" s="18"/>
    </row>
    <row r="531">
      <c r="B531" s="18"/>
      <c r="C531" s="18"/>
      <c r="D531" s="18"/>
    </row>
    <row r="532">
      <c r="B532" s="18"/>
      <c r="C532" s="18"/>
      <c r="D532" s="18"/>
    </row>
    <row r="533">
      <c r="B533" s="18"/>
      <c r="C533" s="18"/>
      <c r="D533" s="18"/>
    </row>
    <row r="534">
      <c r="B534" s="18"/>
      <c r="C534" s="18"/>
      <c r="D534" s="18"/>
    </row>
    <row r="535">
      <c r="B535" s="18"/>
      <c r="C535" s="18"/>
      <c r="D535" s="18"/>
    </row>
    <row r="536">
      <c r="B536" s="18"/>
      <c r="C536" s="18"/>
      <c r="D536" s="18"/>
    </row>
    <row r="537">
      <c r="B537" s="18"/>
      <c r="C537" s="18"/>
      <c r="D537" s="18"/>
    </row>
    <row r="538">
      <c r="B538" s="18"/>
      <c r="C538" s="18"/>
      <c r="D538" s="18"/>
    </row>
    <row r="539">
      <c r="B539" s="18"/>
      <c r="C539" s="18"/>
      <c r="D539" s="18"/>
    </row>
    <row r="540">
      <c r="B540" s="18"/>
      <c r="C540" s="18"/>
      <c r="D540" s="18"/>
    </row>
    <row r="541">
      <c r="B541" s="18"/>
      <c r="C541" s="18"/>
      <c r="D541" s="18"/>
    </row>
    <row r="542">
      <c r="B542" s="18"/>
      <c r="C542" s="18"/>
      <c r="D542" s="18"/>
    </row>
    <row r="543">
      <c r="B543" s="18"/>
      <c r="C543" s="18"/>
      <c r="D543" s="18"/>
    </row>
    <row r="544">
      <c r="B544" s="18"/>
      <c r="C544" s="18"/>
      <c r="D544" s="18"/>
    </row>
    <row r="545">
      <c r="B545" s="18"/>
      <c r="C545" s="18"/>
      <c r="D545" s="18"/>
    </row>
    <row r="546">
      <c r="B546" s="18"/>
      <c r="C546" s="18"/>
      <c r="D546" s="18"/>
    </row>
    <row r="547">
      <c r="B547" s="18"/>
      <c r="C547" s="18"/>
      <c r="D547" s="18"/>
    </row>
    <row r="548">
      <c r="B548" s="18"/>
      <c r="C548" s="18"/>
      <c r="D548" s="18"/>
    </row>
    <row r="549">
      <c r="B549" s="18"/>
      <c r="C549" s="18"/>
      <c r="D549" s="18"/>
    </row>
    <row r="550">
      <c r="B550" s="18"/>
      <c r="C550" s="18"/>
      <c r="D550" s="18"/>
    </row>
    <row r="551">
      <c r="B551" s="18"/>
      <c r="C551" s="18"/>
      <c r="D551" s="18"/>
    </row>
    <row r="552">
      <c r="B552" s="18"/>
      <c r="C552" s="18"/>
      <c r="D552" s="18"/>
    </row>
    <row r="553">
      <c r="B553" s="18"/>
      <c r="C553" s="18"/>
      <c r="D553" s="18"/>
    </row>
    <row r="554">
      <c r="B554" s="18"/>
      <c r="C554" s="18"/>
      <c r="D554" s="18"/>
    </row>
    <row r="555">
      <c r="B555" s="18"/>
      <c r="C555" s="18"/>
      <c r="D555" s="18"/>
    </row>
    <row r="556">
      <c r="B556" s="18"/>
      <c r="C556" s="18"/>
      <c r="D556" s="18"/>
    </row>
    <row r="557">
      <c r="B557" s="18"/>
      <c r="C557" s="18"/>
      <c r="D557" s="18"/>
    </row>
    <row r="558">
      <c r="B558" s="18"/>
      <c r="C558" s="18"/>
      <c r="D558" s="18"/>
    </row>
    <row r="559">
      <c r="B559" s="18"/>
      <c r="C559" s="18"/>
      <c r="D559" s="18"/>
    </row>
    <row r="560">
      <c r="B560" s="18"/>
      <c r="C560" s="18"/>
      <c r="D560" s="18"/>
    </row>
    <row r="561">
      <c r="B561" s="18"/>
      <c r="C561" s="18"/>
      <c r="D561" s="18"/>
    </row>
    <row r="562">
      <c r="B562" s="18"/>
      <c r="C562" s="18"/>
      <c r="D562" s="18"/>
    </row>
    <row r="563">
      <c r="B563" s="18"/>
      <c r="C563" s="18"/>
      <c r="D563" s="18"/>
    </row>
    <row r="564">
      <c r="B564" s="18"/>
      <c r="C564" s="18"/>
      <c r="D564" s="18"/>
    </row>
    <row r="565">
      <c r="B565" s="18"/>
      <c r="C565" s="18"/>
      <c r="D565" s="18"/>
    </row>
    <row r="566">
      <c r="B566" s="18"/>
      <c r="C566" s="18"/>
      <c r="D566" s="18"/>
    </row>
    <row r="567">
      <c r="B567" s="18"/>
      <c r="C567" s="18"/>
      <c r="D567" s="18"/>
    </row>
    <row r="568">
      <c r="B568" s="18"/>
      <c r="C568" s="18"/>
      <c r="D568" s="18"/>
    </row>
    <row r="569">
      <c r="B569" s="18"/>
      <c r="C569" s="18"/>
      <c r="D569" s="18"/>
    </row>
    <row r="570">
      <c r="B570" s="18"/>
      <c r="C570" s="18"/>
      <c r="D570" s="18"/>
    </row>
    <row r="571">
      <c r="B571" s="18"/>
      <c r="C571" s="18"/>
      <c r="D571" s="18"/>
    </row>
    <row r="572">
      <c r="B572" s="18"/>
      <c r="C572" s="18"/>
      <c r="D572" s="18"/>
    </row>
    <row r="573">
      <c r="B573" s="18"/>
      <c r="C573" s="18"/>
      <c r="D573" s="18"/>
    </row>
    <row r="574">
      <c r="B574" s="18"/>
      <c r="C574" s="18"/>
      <c r="D574" s="18"/>
    </row>
    <row r="575">
      <c r="B575" s="18"/>
      <c r="C575" s="18"/>
      <c r="D575" s="18"/>
    </row>
    <row r="576">
      <c r="B576" s="18"/>
      <c r="C576" s="18"/>
      <c r="D576" s="18"/>
    </row>
    <row r="577">
      <c r="B577" s="18"/>
      <c r="C577" s="18"/>
      <c r="D577" s="18"/>
    </row>
    <row r="578">
      <c r="B578" s="18"/>
      <c r="C578" s="18"/>
      <c r="D578" s="18"/>
    </row>
    <row r="579">
      <c r="B579" s="18"/>
      <c r="C579" s="18"/>
      <c r="D579" s="18"/>
    </row>
    <row r="580">
      <c r="B580" s="18"/>
      <c r="C580" s="18"/>
      <c r="D580" s="18"/>
    </row>
    <row r="581">
      <c r="B581" s="18"/>
      <c r="C581" s="18"/>
      <c r="D581" s="18"/>
    </row>
    <row r="582">
      <c r="B582" s="18"/>
      <c r="C582" s="18"/>
      <c r="D582" s="18"/>
    </row>
    <row r="583">
      <c r="B583" s="18"/>
      <c r="C583" s="18"/>
      <c r="D583" s="18"/>
    </row>
    <row r="584">
      <c r="B584" s="18"/>
      <c r="C584" s="18"/>
      <c r="D584" s="18"/>
    </row>
    <row r="585">
      <c r="B585" s="18"/>
      <c r="C585" s="18"/>
      <c r="D585" s="18"/>
    </row>
    <row r="586">
      <c r="B586" s="18"/>
      <c r="C586" s="18"/>
      <c r="D586" s="18"/>
    </row>
    <row r="587">
      <c r="B587" s="18"/>
      <c r="C587" s="18"/>
      <c r="D587" s="18"/>
    </row>
    <row r="588">
      <c r="B588" s="18"/>
      <c r="C588" s="18"/>
      <c r="D588" s="18"/>
    </row>
    <row r="589">
      <c r="B589" s="18"/>
      <c r="C589" s="18"/>
      <c r="D589" s="18"/>
    </row>
    <row r="590">
      <c r="B590" s="18"/>
      <c r="C590" s="18"/>
      <c r="D590" s="18"/>
    </row>
    <row r="591">
      <c r="B591" s="18"/>
      <c r="C591" s="18"/>
      <c r="D591" s="18"/>
    </row>
    <row r="592">
      <c r="B592" s="18"/>
      <c r="C592" s="18"/>
      <c r="D592" s="18"/>
    </row>
    <row r="593">
      <c r="B593" s="18"/>
      <c r="C593" s="18"/>
      <c r="D593" s="18"/>
    </row>
    <row r="594">
      <c r="B594" s="18"/>
      <c r="C594" s="18"/>
      <c r="D594" s="18"/>
    </row>
    <row r="595">
      <c r="B595" s="18"/>
      <c r="C595" s="18"/>
      <c r="D595" s="18"/>
    </row>
    <row r="596">
      <c r="B596" s="18"/>
      <c r="C596" s="18"/>
      <c r="D596" s="18"/>
    </row>
    <row r="597">
      <c r="B597" s="18"/>
      <c r="C597" s="18"/>
      <c r="D597" s="18"/>
    </row>
    <row r="598">
      <c r="B598" s="18"/>
      <c r="C598" s="18"/>
      <c r="D598" s="18"/>
    </row>
    <row r="599">
      <c r="B599" s="18"/>
      <c r="C599" s="18"/>
      <c r="D599" s="18"/>
    </row>
    <row r="600">
      <c r="B600" s="18"/>
      <c r="C600" s="18"/>
      <c r="D600" s="18"/>
    </row>
    <row r="601">
      <c r="B601" s="18"/>
      <c r="C601" s="18"/>
      <c r="D601" s="18"/>
    </row>
    <row r="602">
      <c r="B602" s="18"/>
      <c r="C602" s="18"/>
      <c r="D602" s="18"/>
    </row>
    <row r="603">
      <c r="B603" s="18"/>
      <c r="C603" s="18"/>
      <c r="D603" s="18"/>
    </row>
    <row r="604">
      <c r="B604" s="18"/>
      <c r="C604" s="18"/>
      <c r="D604" s="18"/>
    </row>
    <row r="605">
      <c r="B605" s="18"/>
      <c r="C605" s="18"/>
      <c r="D605" s="18"/>
    </row>
    <row r="606">
      <c r="B606" s="18"/>
      <c r="C606" s="18"/>
      <c r="D606" s="18"/>
    </row>
    <row r="607">
      <c r="B607" s="18"/>
      <c r="C607" s="18"/>
      <c r="D607" s="18"/>
    </row>
    <row r="608">
      <c r="B608" s="18"/>
      <c r="C608" s="18"/>
      <c r="D608" s="18"/>
    </row>
    <row r="609">
      <c r="B609" s="18"/>
      <c r="C609" s="18"/>
      <c r="D609" s="18"/>
    </row>
    <row r="610">
      <c r="B610" s="18"/>
      <c r="C610" s="18"/>
      <c r="D610" s="18"/>
    </row>
    <row r="611">
      <c r="B611" s="18"/>
      <c r="C611" s="18"/>
      <c r="D611" s="18"/>
    </row>
    <row r="612">
      <c r="B612" s="18"/>
      <c r="C612" s="18"/>
      <c r="D612" s="18"/>
    </row>
    <row r="613">
      <c r="B613" s="18"/>
      <c r="C613" s="18"/>
      <c r="D613" s="18"/>
    </row>
    <row r="614">
      <c r="B614" s="18"/>
      <c r="C614" s="18"/>
      <c r="D614" s="18"/>
    </row>
    <row r="615">
      <c r="B615" s="18"/>
      <c r="C615" s="18"/>
      <c r="D615" s="18"/>
    </row>
    <row r="616">
      <c r="B616" s="18"/>
      <c r="C616" s="18"/>
      <c r="D616" s="18"/>
    </row>
    <row r="617">
      <c r="B617" s="18"/>
      <c r="C617" s="18"/>
      <c r="D617" s="18"/>
    </row>
    <row r="618">
      <c r="B618" s="18"/>
      <c r="C618" s="18"/>
      <c r="D618" s="18"/>
    </row>
    <row r="619">
      <c r="B619" s="18"/>
      <c r="C619" s="18"/>
      <c r="D619" s="18"/>
    </row>
    <row r="620">
      <c r="B620" s="18"/>
      <c r="C620" s="18"/>
      <c r="D620" s="18"/>
    </row>
    <row r="621">
      <c r="B621" s="18"/>
      <c r="C621" s="18"/>
      <c r="D621" s="18"/>
    </row>
    <row r="622">
      <c r="B622" s="18"/>
      <c r="C622" s="18"/>
      <c r="D622" s="18"/>
    </row>
    <row r="623">
      <c r="B623" s="18"/>
      <c r="C623" s="18"/>
      <c r="D623" s="18"/>
    </row>
    <row r="624">
      <c r="B624" s="18"/>
      <c r="C624" s="18"/>
      <c r="D624" s="18"/>
    </row>
    <row r="625">
      <c r="B625" s="18"/>
      <c r="C625" s="18"/>
      <c r="D625" s="18"/>
    </row>
    <row r="626">
      <c r="B626" s="18"/>
      <c r="C626" s="18"/>
      <c r="D626" s="18"/>
    </row>
    <row r="627">
      <c r="B627" s="18"/>
      <c r="C627" s="18"/>
      <c r="D627" s="18"/>
    </row>
    <row r="628">
      <c r="B628" s="18"/>
      <c r="C628" s="18"/>
      <c r="D628" s="18"/>
    </row>
    <row r="629">
      <c r="B629" s="18"/>
      <c r="C629" s="18"/>
      <c r="D629" s="18"/>
    </row>
    <row r="630">
      <c r="B630" s="18"/>
      <c r="C630" s="18"/>
      <c r="D630" s="18"/>
    </row>
    <row r="631">
      <c r="B631" s="18"/>
      <c r="C631" s="18"/>
      <c r="D631" s="18"/>
    </row>
    <row r="632">
      <c r="B632" s="18"/>
      <c r="C632" s="18"/>
      <c r="D632" s="18"/>
    </row>
    <row r="633">
      <c r="B633" s="18"/>
      <c r="C633" s="18"/>
      <c r="D633" s="18"/>
    </row>
    <row r="634">
      <c r="B634" s="18"/>
      <c r="C634" s="18"/>
      <c r="D634" s="18"/>
    </row>
    <row r="635">
      <c r="B635" s="18"/>
      <c r="C635" s="18"/>
      <c r="D635" s="18"/>
    </row>
    <row r="636">
      <c r="B636" s="18"/>
      <c r="C636" s="18"/>
      <c r="D636" s="18"/>
    </row>
    <row r="637">
      <c r="B637" s="18"/>
      <c r="C637" s="18"/>
      <c r="D637" s="18"/>
    </row>
    <row r="638">
      <c r="B638" s="18"/>
      <c r="C638" s="18"/>
      <c r="D638" s="18"/>
    </row>
    <row r="639">
      <c r="B639" s="18"/>
      <c r="C639" s="18"/>
      <c r="D639" s="18"/>
    </row>
    <row r="640">
      <c r="B640" s="18"/>
      <c r="C640" s="18"/>
      <c r="D640" s="18"/>
    </row>
    <row r="641">
      <c r="B641" s="18"/>
      <c r="C641" s="18"/>
      <c r="D641" s="18"/>
    </row>
    <row r="642">
      <c r="B642" s="18"/>
      <c r="C642" s="18"/>
      <c r="D642" s="18"/>
    </row>
    <row r="643">
      <c r="B643" s="18"/>
      <c r="C643" s="18"/>
      <c r="D643" s="18"/>
    </row>
    <row r="644">
      <c r="B644" s="18"/>
      <c r="C644" s="18"/>
      <c r="D644" s="18"/>
    </row>
    <row r="645">
      <c r="B645" s="18"/>
      <c r="C645" s="18"/>
      <c r="D645" s="18"/>
    </row>
    <row r="646">
      <c r="B646" s="18"/>
      <c r="C646" s="18"/>
      <c r="D646" s="18"/>
    </row>
    <row r="647">
      <c r="B647" s="18"/>
      <c r="C647" s="18"/>
      <c r="D647" s="18"/>
    </row>
    <row r="648">
      <c r="B648" s="18"/>
      <c r="C648" s="18"/>
      <c r="D648" s="18"/>
    </row>
    <row r="649">
      <c r="B649" s="18"/>
      <c r="C649" s="18"/>
      <c r="D649" s="18"/>
    </row>
    <row r="650">
      <c r="B650" s="18"/>
      <c r="C650" s="18"/>
      <c r="D650" s="18"/>
    </row>
    <row r="651">
      <c r="B651" s="18"/>
      <c r="C651" s="18"/>
      <c r="D651" s="18"/>
    </row>
    <row r="652">
      <c r="B652" s="18"/>
      <c r="C652" s="18"/>
      <c r="D652" s="18"/>
    </row>
    <row r="653">
      <c r="B653" s="18"/>
      <c r="C653" s="18"/>
      <c r="D653" s="18"/>
    </row>
    <row r="654">
      <c r="B654" s="18"/>
      <c r="C654" s="18"/>
      <c r="D654" s="18"/>
    </row>
    <row r="655">
      <c r="B655" s="18"/>
      <c r="C655" s="18"/>
      <c r="D655" s="18"/>
    </row>
    <row r="656">
      <c r="B656" s="18"/>
      <c r="C656" s="18"/>
      <c r="D656" s="18"/>
    </row>
    <row r="657">
      <c r="B657" s="18"/>
      <c r="C657" s="18"/>
      <c r="D657" s="18"/>
    </row>
    <row r="658">
      <c r="B658" s="18"/>
      <c r="C658" s="18"/>
      <c r="D658" s="18"/>
    </row>
    <row r="659">
      <c r="B659" s="18"/>
      <c r="C659" s="18"/>
      <c r="D659" s="18"/>
    </row>
    <row r="660">
      <c r="B660" s="18"/>
      <c r="C660" s="18"/>
      <c r="D660" s="18"/>
    </row>
    <row r="661">
      <c r="B661" s="18"/>
      <c r="C661" s="18"/>
      <c r="D661" s="18"/>
    </row>
    <row r="662">
      <c r="B662" s="18"/>
      <c r="C662" s="18"/>
      <c r="D662" s="18"/>
    </row>
    <row r="663">
      <c r="B663" s="18"/>
      <c r="C663" s="18"/>
      <c r="D663" s="18"/>
    </row>
    <row r="664">
      <c r="B664" s="18"/>
      <c r="C664" s="18"/>
      <c r="D664" s="18"/>
    </row>
    <row r="665">
      <c r="B665" s="18"/>
      <c r="C665" s="18"/>
      <c r="D665" s="18"/>
    </row>
    <row r="666">
      <c r="B666" s="18"/>
      <c r="C666" s="18"/>
      <c r="D666" s="18"/>
    </row>
    <row r="667">
      <c r="B667" s="18"/>
      <c r="C667" s="18"/>
      <c r="D667" s="18"/>
    </row>
    <row r="668">
      <c r="B668" s="18"/>
      <c r="C668" s="18"/>
      <c r="D668" s="18"/>
    </row>
    <row r="669">
      <c r="B669" s="18"/>
      <c r="C669" s="18"/>
      <c r="D669" s="18"/>
    </row>
    <row r="670">
      <c r="B670" s="18"/>
      <c r="C670" s="18"/>
      <c r="D670" s="18"/>
    </row>
    <row r="671">
      <c r="B671" s="18"/>
      <c r="C671" s="18"/>
      <c r="D671" s="18"/>
    </row>
    <row r="672">
      <c r="B672" s="18"/>
      <c r="C672" s="18"/>
      <c r="D672" s="18"/>
    </row>
    <row r="673">
      <c r="B673" s="18"/>
      <c r="C673" s="18"/>
      <c r="D673" s="18"/>
    </row>
    <row r="674">
      <c r="B674" s="18"/>
      <c r="C674" s="18"/>
      <c r="D674" s="18"/>
    </row>
    <row r="675">
      <c r="B675" s="18"/>
      <c r="C675" s="18"/>
      <c r="D675" s="18"/>
    </row>
    <row r="676">
      <c r="B676" s="18"/>
      <c r="C676" s="18"/>
      <c r="D676" s="18"/>
    </row>
    <row r="677">
      <c r="B677" s="18"/>
      <c r="C677" s="18"/>
      <c r="D677" s="18"/>
    </row>
    <row r="678">
      <c r="B678" s="18"/>
      <c r="C678" s="18"/>
      <c r="D678" s="18"/>
    </row>
    <row r="679">
      <c r="B679" s="18"/>
      <c r="C679" s="18"/>
      <c r="D679" s="18"/>
    </row>
    <row r="680">
      <c r="B680" s="18"/>
      <c r="C680" s="18"/>
      <c r="D680" s="18"/>
    </row>
    <row r="681">
      <c r="B681" s="18"/>
      <c r="C681" s="18"/>
      <c r="D681" s="18"/>
    </row>
    <row r="682">
      <c r="B682" s="18"/>
      <c r="C682" s="18"/>
      <c r="D682" s="18"/>
    </row>
    <row r="683">
      <c r="B683" s="18"/>
      <c r="C683" s="18"/>
      <c r="D683" s="18"/>
    </row>
    <row r="684">
      <c r="B684" s="18"/>
      <c r="C684" s="18"/>
      <c r="D684" s="18"/>
    </row>
    <row r="685">
      <c r="B685" s="18"/>
      <c r="C685" s="18"/>
      <c r="D685" s="18"/>
    </row>
    <row r="686">
      <c r="B686" s="18"/>
      <c r="C686" s="18"/>
      <c r="D686" s="18"/>
    </row>
    <row r="687">
      <c r="B687" s="18"/>
      <c r="C687" s="18"/>
      <c r="D687" s="18"/>
    </row>
    <row r="688">
      <c r="B688" s="18"/>
      <c r="C688" s="18"/>
      <c r="D688" s="18"/>
    </row>
    <row r="689">
      <c r="B689" s="18"/>
      <c r="C689" s="18"/>
      <c r="D689" s="18"/>
    </row>
    <row r="690">
      <c r="B690" s="18"/>
      <c r="C690" s="18"/>
      <c r="D690" s="18"/>
    </row>
    <row r="691">
      <c r="B691" s="18"/>
      <c r="C691" s="18"/>
      <c r="D691" s="18"/>
    </row>
    <row r="692">
      <c r="B692" s="18"/>
      <c r="C692" s="18"/>
      <c r="D692" s="18"/>
    </row>
    <row r="693">
      <c r="B693" s="18"/>
      <c r="C693" s="18"/>
      <c r="D693" s="18"/>
    </row>
    <row r="694">
      <c r="B694" s="18"/>
      <c r="C694" s="18"/>
      <c r="D694" s="18"/>
    </row>
    <row r="695">
      <c r="B695" s="18"/>
      <c r="C695" s="18"/>
      <c r="D695" s="18"/>
    </row>
    <row r="696">
      <c r="B696" s="18"/>
      <c r="C696" s="18"/>
      <c r="D696" s="18"/>
    </row>
    <row r="697">
      <c r="B697" s="18"/>
      <c r="C697" s="18"/>
      <c r="D697" s="18"/>
    </row>
    <row r="698">
      <c r="B698" s="18"/>
      <c r="C698" s="18"/>
      <c r="D698" s="18"/>
    </row>
    <row r="699">
      <c r="B699" s="18"/>
      <c r="C699" s="18"/>
      <c r="D699" s="18"/>
    </row>
    <row r="700">
      <c r="B700" s="18"/>
      <c r="C700" s="18"/>
      <c r="D700" s="18"/>
    </row>
    <row r="701">
      <c r="B701" s="18"/>
      <c r="C701" s="18"/>
      <c r="D701" s="18"/>
    </row>
    <row r="702">
      <c r="B702" s="18"/>
      <c r="C702" s="18"/>
      <c r="D702" s="18"/>
    </row>
    <row r="703">
      <c r="B703" s="18"/>
      <c r="C703" s="18"/>
      <c r="D703" s="18"/>
    </row>
    <row r="704">
      <c r="B704" s="18"/>
      <c r="C704" s="18"/>
      <c r="D704" s="18"/>
    </row>
    <row r="705">
      <c r="B705" s="18"/>
      <c r="C705" s="18"/>
      <c r="D705" s="18"/>
    </row>
    <row r="706">
      <c r="B706" s="18"/>
      <c r="C706" s="18"/>
      <c r="D706" s="18"/>
    </row>
    <row r="707">
      <c r="B707" s="18"/>
      <c r="C707" s="18"/>
      <c r="D707" s="18"/>
    </row>
    <row r="708">
      <c r="B708" s="18"/>
      <c r="C708" s="18"/>
      <c r="D708" s="18"/>
    </row>
    <row r="709">
      <c r="B709" s="18"/>
      <c r="C709" s="18"/>
      <c r="D709" s="18"/>
    </row>
    <row r="710">
      <c r="B710" s="18"/>
      <c r="C710" s="18"/>
      <c r="D710" s="18"/>
    </row>
    <row r="711">
      <c r="B711" s="18"/>
      <c r="C711" s="18"/>
      <c r="D711" s="18"/>
    </row>
    <row r="712">
      <c r="B712" s="18"/>
      <c r="C712" s="18"/>
      <c r="D712" s="18"/>
    </row>
    <row r="713">
      <c r="B713" s="18"/>
      <c r="C713" s="18"/>
      <c r="D713" s="18"/>
    </row>
    <row r="714">
      <c r="B714" s="18"/>
      <c r="C714" s="18"/>
      <c r="D714" s="18"/>
    </row>
    <row r="715">
      <c r="B715" s="18"/>
      <c r="C715" s="18"/>
      <c r="D715" s="18"/>
    </row>
    <row r="716">
      <c r="B716" s="18"/>
      <c r="C716" s="18"/>
      <c r="D716" s="18"/>
    </row>
    <row r="717">
      <c r="B717" s="18"/>
      <c r="C717" s="18"/>
      <c r="D717" s="18"/>
    </row>
    <row r="718">
      <c r="B718" s="18"/>
      <c r="C718" s="18"/>
      <c r="D718" s="18"/>
    </row>
    <row r="719">
      <c r="B719" s="18"/>
      <c r="C719" s="18"/>
      <c r="D719" s="18"/>
    </row>
    <row r="720">
      <c r="B720" s="18"/>
      <c r="C720" s="18"/>
      <c r="D720" s="18"/>
    </row>
    <row r="721">
      <c r="B721" s="18"/>
      <c r="C721" s="18"/>
      <c r="D721" s="18"/>
    </row>
    <row r="722">
      <c r="B722" s="18"/>
      <c r="C722" s="18"/>
      <c r="D722" s="18"/>
    </row>
    <row r="723">
      <c r="B723" s="18"/>
      <c r="C723" s="18"/>
      <c r="D723" s="18"/>
    </row>
    <row r="724">
      <c r="B724" s="18"/>
      <c r="C724" s="18"/>
      <c r="D724" s="18"/>
    </row>
    <row r="725">
      <c r="B725" s="18"/>
      <c r="C725" s="18"/>
      <c r="D725" s="18"/>
    </row>
    <row r="726">
      <c r="B726" s="18"/>
      <c r="C726" s="18"/>
      <c r="D726" s="18"/>
    </row>
    <row r="727">
      <c r="B727" s="18"/>
      <c r="C727" s="18"/>
      <c r="D727" s="18"/>
    </row>
    <row r="728">
      <c r="B728" s="18"/>
      <c r="C728" s="18"/>
      <c r="D728" s="18"/>
    </row>
    <row r="729">
      <c r="B729" s="18"/>
      <c r="C729" s="18"/>
      <c r="D729" s="18"/>
    </row>
    <row r="730">
      <c r="B730" s="18"/>
      <c r="C730" s="18"/>
      <c r="D730" s="18"/>
    </row>
    <row r="731">
      <c r="B731" s="18"/>
      <c r="C731" s="18"/>
      <c r="D731" s="18"/>
    </row>
    <row r="732">
      <c r="B732" s="18"/>
      <c r="C732" s="18"/>
      <c r="D732" s="18"/>
    </row>
    <row r="733">
      <c r="B733" s="18"/>
      <c r="C733" s="18"/>
      <c r="D733" s="18"/>
    </row>
    <row r="734">
      <c r="B734" s="18"/>
      <c r="C734" s="18"/>
      <c r="D734" s="18"/>
    </row>
    <row r="735">
      <c r="B735" s="18"/>
      <c r="C735" s="18"/>
      <c r="D735" s="18"/>
    </row>
    <row r="736">
      <c r="B736" s="18"/>
      <c r="C736" s="18"/>
      <c r="D736" s="18"/>
    </row>
    <row r="737">
      <c r="B737" s="18"/>
      <c r="C737" s="18"/>
      <c r="D737" s="18"/>
    </row>
    <row r="738">
      <c r="B738" s="18"/>
      <c r="C738" s="18"/>
      <c r="D738" s="18"/>
    </row>
    <row r="739">
      <c r="B739" s="18"/>
      <c r="C739" s="18"/>
      <c r="D739" s="18"/>
    </row>
    <row r="740">
      <c r="B740" s="18"/>
      <c r="C740" s="18"/>
      <c r="D740" s="18"/>
    </row>
    <row r="741">
      <c r="B741" s="18"/>
      <c r="C741" s="18"/>
      <c r="D741" s="18"/>
    </row>
    <row r="742">
      <c r="B742" s="18"/>
      <c r="C742" s="18"/>
      <c r="D742" s="18"/>
    </row>
    <row r="743">
      <c r="B743" s="18"/>
      <c r="C743" s="18"/>
      <c r="D743" s="18"/>
    </row>
    <row r="744">
      <c r="B744" s="18"/>
      <c r="C744" s="18"/>
      <c r="D744" s="18"/>
    </row>
    <row r="745">
      <c r="B745" s="18"/>
      <c r="C745" s="18"/>
      <c r="D745" s="18"/>
    </row>
    <row r="746">
      <c r="B746" s="18"/>
      <c r="C746" s="18"/>
      <c r="D746" s="18"/>
    </row>
    <row r="747">
      <c r="B747" s="18"/>
      <c r="C747" s="18"/>
      <c r="D747" s="18"/>
    </row>
    <row r="748">
      <c r="B748" s="18"/>
      <c r="C748" s="18"/>
      <c r="D748" s="18"/>
    </row>
    <row r="749">
      <c r="B749" s="18"/>
      <c r="C749" s="18"/>
      <c r="D749" s="18"/>
    </row>
    <row r="750">
      <c r="B750" s="18"/>
      <c r="C750" s="18"/>
      <c r="D750" s="18"/>
    </row>
    <row r="751">
      <c r="B751" s="18"/>
      <c r="C751" s="18"/>
      <c r="D751" s="18"/>
    </row>
    <row r="752">
      <c r="B752" s="18"/>
      <c r="C752" s="18"/>
      <c r="D752" s="18"/>
    </row>
    <row r="753">
      <c r="B753" s="18"/>
      <c r="C753" s="18"/>
      <c r="D753" s="18"/>
    </row>
    <row r="754">
      <c r="B754" s="18"/>
      <c r="C754" s="18"/>
      <c r="D754" s="18"/>
    </row>
    <row r="755">
      <c r="B755" s="18"/>
      <c r="C755" s="18"/>
      <c r="D755" s="18"/>
    </row>
    <row r="756">
      <c r="B756" s="18"/>
      <c r="C756" s="18"/>
      <c r="D756" s="18"/>
    </row>
    <row r="757">
      <c r="B757" s="18"/>
      <c r="C757" s="18"/>
      <c r="D757" s="18"/>
    </row>
    <row r="758">
      <c r="B758" s="18"/>
      <c r="C758" s="18"/>
      <c r="D758" s="18"/>
    </row>
    <row r="759">
      <c r="B759" s="18"/>
      <c r="C759" s="18"/>
      <c r="D759" s="18"/>
    </row>
    <row r="760">
      <c r="B760" s="18"/>
      <c r="C760" s="18"/>
      <c r="D760" s="18"/>
    </row>
    <row r="761">
      <c r="B761" s="18"/>
      <c r="C761" s="18"/>
      <c r="D761" s="18"/>
    </row>
    <row r="762">
      <c r="B762" s="18"/>
      <c r="C762" s="18"/>
      <c r="D762" s="18"/>
    </row>
    <row r="763">
      <c r="B763" s="18"/>
      <c r="C763" s="18"/>
      <c r="D763" s="18"/>
    </row>
    <row r="764">
      <c r="B764" s="18"/>
      <c r="C764" s="18"/>
      <c r="D764" s="18"/>
    </row>
    <row r="765">
      <c r="B765" s="18"/>
      <c r="C765" s="18"/>
      <c r="D765" s="18"/>
    </row>
    <row r="766">
      <c r="B766" s="18"/>
      <c r="C766" s="18"/>
      <c r="D766" s="18"/>
    </row>
    <row r="767">
      <c r="B767" s="18"/>
      <c r="C767" s="18"/>
      <c r="D767" s="18"/>
    </row>
    <row r="768">
      <c r="B768" s="18"/>
      <c r="C768" s="18"/>
      <c r="D768" s="18"/>
    </row>
    <row r="769">
      <c r="B769" s="18"/>
      <c r="C769" s="18"/>
      <c r="D769" s="18"/>
    </row>
    <row r="770">
      <c r="B770" s="18"/>
      <c r="C770" s="18"/>
      <c r="D770" s="18"/>
    </row>
    <row r="771">
      <c r="B771" s="18"/>
      <c r="C771" s="18"/>
      <c r="D771" s="18"/>
    </row>
    <row r="772">
      <c r="B772" s="18"/>
      <c r="C772" s="18"/>
      <c r="D772" s="18"/>
    </row>
    <row r="773">
      <c r="B773" s="18"/>
      <c r="C773" s="18"/>
      <c r="D773" s="18"/>
    </row>
    <row r="774">
      <c r="B774" s="18"/>
      <c r="C774" s="18"/>
      <c r="D774" s="18"/>
    </row>
    <row r="775">
      <c r="B775" s="18"/>
      <c r="C775" s="18"/>
      <c r="D775" s="18"/>
    </row>
    <row r="776">
      <c r="B776" s="18"/>
      <c r="C776" s="18"/>
      <c r="D776" s="18"/>
    </row>
    <row r="777">
      <c r="B777" s="18"/>
      <c r="C777" s="18"/>
      <c r="D777" s="18"/>
    </row>
    <row r="778">
      <c r="B778" s="18"/>
      <c r="C778" s="18"/>
      <c r="D778" s="18"/>
    </row>
    <row r="779">
      <c r="B779" s="18"/>
      <c r="C779" s="18"/>
      <c r="D779" s="18"/>
    </row>
    <row r="780">
      <c r="B780" s="18"/>
      <c r="C780" s="18"/>
      <c r="D780" s="18"/>
    </row>
    <row r="781">
      <c r="B781" s="18"/>
      <c r="C781" s="18"/>
      <c r="D781" s="18"/>
    </row>
    <row r="782">
      <c r="B782" s="18"/>
      <c r="C782" s="18"/>
      <c r="D782" s="18"/>
    </row>
    <row r="783">
      <c r="B783" s="18"/>
      <c r="C783" s="18"/>
      <c r="D783" s="18"/>
    </row>
    <row r="784">
      <c r="B784" s="18"/>
      <c r="C784" s="18"/>
      <c r="D784" s="18"/>
    </row>
    <row r="785">
      <c r="B785" s="18"/>
      <c r="C785" s="18"/>
      <c r="D785" s="18"/>
    </row>
    <row r="786">
      <c r="B786" s="18"/>
      <c r="C786" s="18"/>
      <c r="D786" s="18"/>
    </row>
    <row r="787">
      <c r="B787" s="18"/>
      <c r="C787" s="18"/>
      <c r="D787" s="18"/>
    </row>
    <row r="788">
      <c r="B788" s="18"/>
      <c r="C788" s="18"/>
      <c r="D788" s="18"/>
    </row>
    <row r="789">
      <c r="B789" s="18"/>
      <c r="C789" s="18"/>
      <c r="D789" s="18"/>
    </row>
    <row r="790">
      <c r="B790" s="18"/>
      <c r="C790" s="18"/>
      <c r="D790" s="18"/>
    </row>
    <row r="791">
      <c r="B791" s="18"/>
      <c r="C791" s="18"/>
      <c r="D791" s="18"/>
    </row>
    <row r="792">
      <c r="B792" s="18"/>
      <c r="C792" s="18"/>
      <c r="D792" s="18"/>
    </row>
    <row r="793">
      <c r="B793" s="18"/>
      <c r="C793" s="18"/>
      <c r="D793" s="18"/>
    </row>
    <row r="794">
      <c r="B794" s="18"/>
      <c r="C794" s="18"/>
      <c r="D794" s="18"/>
    </row>
    <row r="795">
      <c r="B795" s="18"/>
      <c r="C795" s="18"/>
      <c r="D795" s="18"/>
    </row>
    <row r="796">
      <c r="B796" s="18"/>
      <c r="C796" s="18"/>
      <c r="D796" s="18"/>
    </row>
    <row r="797">
      <c r="B797" s="18"/>
      <c r="C797" s="18"/>
      <c r="D797" s="18"/>
    </row>
    <row r="798">
      <c r="B798" s="18"/>
      <c r="C798" s="18"/>
      <c r="D798" s="18"/>
    </row>
    <row r="799">
      <c r="B799" s="18"/>
      <c r="C799" s="18"/>
      <c r="D799" s="18"/>
    </row>
    <row r="800">
      <c r="B800" s="18"/>
      <c r="C800" s="18"/>
      <c r="D800" s="18"/>
    </row>
    <row r="801">
      <c r="B801" s="18"/>
      <c r="C801" s="18"/>
      <c r="D801" s="18"/>
    </row>
    <row r="802">
      <c r="B802" s="18"/>
      <c r="C802" s="18"/>
      <c r="D802" s="18"/>
    </row>
    <row r="803">
      <c r="B803" s="18"/>
      <c r="C803" s="18"/>
      <c r="D803" s="18"/>
    </row>
    <row r="804">
      <c r="B804" s="18"/>
      <c r="C804" s="18"/>
      <c r="D804" s="18"/>
    </row>
    <row r="805">
      <c r="B805" s="18"/>
      <c r="C805" s="18"/>
      <c r="D805" s="18"/>
    </row>
    <row r="806">
      <c r="B806" s="18"/>
      <c r="C806" s="18"/>
      <c r="D806" s="18"/>
    </row>
    <row r="807">
      <c r="B807" s="18"/>
      <c r="C807" s="18"/>
      <c r="D807" s="18"/>
    </row>
    <row r="808">
      <c r="B808" s="18"/>
      <c r="C808" s="18"/>
      <c r="D808" s="18"/>
    </row>
    <row r="809">
      <c r="B809" s="18"/>
      <c r="C809" s="18"/>
      <c r="D809" s="18"/>
    </row>
    <row r="810">
      <c r="B810" s="18"/>
      <c r="C810" s="18"/>
      <c r="D810" s="18"/>
    </row>
    <row r="811">
      <c r="B811" s="18"/>
      <c r="C811" s="18"/>
      <c r="D811" s="18"/>
    </row>
    <row r="812">
      <c r="B812" s="18"/>
      <c r="C812" s="18"/>
      <c r="D812" s="18"/>
    </row>
    <row r="813">
      <c r="B813" s="18"/>
      <c r="C813" s="18"/>
      <c r="D813" s="18"/>
    </row>
    <row r="814">
      <c r="B814" s="18"/>
      <c r="C814" s="18"/>
      <c r="D814" s="18"/>
    </row>
    <row r="815">
      <c r="B815" s="18"/>
      <c r="C815" s="18"/>
      <c r="D815" s="18"/>
    </row>
    <row r="816">
      <c r="B816" s="18"/>
      <c r="C816" s="18"/>
      <c r="D816" s="18"/>
    </row>
    <row r="817">
      <c r="B817" s="18"/>
      <c r="C817" s="18"/>
      <c r="D817" s="18"/>
    </row>
    <row r="818">
      <c r="B818" s="18"/>
      <c r="C818" s="18"/>
      <c r="D818" s="18"/>
    </row>
    <row r="819">
      <c r="B819" s="18"/>
      <c r="C819" s="18"/>
      <c r="D819" s="18"/>
    </row>
    <row r="820">
      <c r="B820" s="18"/>
      <c r="C820" s="18"/>
      <c r="D820" s="18"/>
    </row>
    <row r="821">
      <c r="B821" s="18"/>
      <c r="C821" s="18"/>
      <c r="D821" s="18"/>
    </row>
    <row r="822">
      <c r="B822" s="18"/>
      <c r="C822" s="18"/>
      <c r="D822" s="18"/>
    </row>
    <row r="823">
      <c r="B823" s="18"/>
      <c r="C823" s="18"/>
      <c r="D823" s="18"/>
    </row>
    <row r="824">
      <c r="B824" s="18"/>
      <c r="C824" s="18"/>
      <c r="D824" s="18"/>
    </row>
    <row r="825">
      <c r="B825" s="18"/>
      <c r="C825" s="18"/>
      <c r="D825" s="18"/>
    </row>
    <row r="826">
      <c r="B826" s="18"/>
      <c r="C826" s="18"/>
      <c r="D826" s="18"/>
    </row>
    <row r="827">
      <c r="B827" s="18"/>
      <c r="C827" s="18"/>
      <c r="D827" s="18"/>
    </row>
    <row r="828">
      <c r="B828" s="18"/>
      <c r="C828" s="18"/>
      <c r="D828" s="18"/>
    </row>
    <row r="829">
      <c r="B829" s="18"/>
      <c r="C829" s="18"/>
      <c r="D829" s="18"/>
    </row>
    <row r="830">
      <c r="B830" s="18"/>
      <c r="C830" s="18"/>
      <c r="D830" s="18"/>
    </row>
    <row r="831">
      <c r="B831" s="18"/>
      <c r="C831" s="18"/>
      <c r="D831" s="18"/>
    </row>
    <row r="832">
      <c r="B832" s="18"/>
      <c r="C832" s="18"/>
      <c r="D832" s="18"/>
    </row>
    <row r="833">
      <c r="B833" s="18"/>
      <c r="C833" s="18"/>
      <c r="D833" s="18"/>
    </row>
    <row r="834">
      <c r="B834" s="18"/>
      <c r="C834" s="18"/>
      <c r="D834" s="18"/>
    </row>
    <row r="835">
      <c r="B835" s="18"/>
      <c r="C835" s="18"/>
      <c r="D835" s="18"/>
    </row>
    <row r="836">
      <c r="B836" s="18"/>
      <c r="C836" s="18"/>
      <c r="D836" s="18"/>
    </row>
    <row r="837">
      <c r="B837" s="18"/>
      <c r="C837" s="18"/>
      <c r="D837" s="18"/>
    </row>
    <row r="838">
      <c r="B838" s="18"/>
      <c r="C838" s="18"/>
      <c r="D838" s="18"/>
    </row>
    <row r="839">
      <c r="B839" s="18"/>
      <c r="C839" s="18"/>
      <c r="D839" s="18"/>
    </row>
    <row r="840">
      <c r="B840" s="18"/>
      <c r="C840" s="18"/>
      <c r="D840" s="18"/>
    </row>
    <row r="841">
      <c r="B841" s="18"/>
      <c r="C841" s="18"/>
      <c r="D841" s="18"/>
    </row>
    <row r="842">
      <c r="B842" s="18"/>
      <c r="C842" s="18"/>
      <c r="D842" s="18"/>
    </row>
    <row r="843">
      <c r="B843" s="18"/>
      <c r="C843" s="18"/>
      <c r="D843" s="18"/>
    </row>
    <row r="844">
      <c r="B844" s="18"/>
      <c r="C844" s="18"/>
      <c r="D844" s="18"/>
    </row>
    <row r="845">
      <c r="B845" s="18"/>
      <c r="C845" s="18"/>
      <c r="D845" s="18"/>
    </row>
    <row r="846">
      <c r="B846" s="18"/>
      <c r="C846" s="18"/>
      <c r="D846" s="18"/>
    </row>
    <row r="847">
      <c r="B847" s="18"/>
      <c r="C847" s="18"/>
      <c r="D847" s="18"/>
    </row>
    <row r="848">
      <c r="B848" s="18"/>
      <c r="C848" s="18"/>
      <c r="D848" s="18"/>
    </row>
    <row r="849">
      <c r="B849" s="18"/>
      <c r="C849" s="18"/>
      <c r="D849" s="18"/>
    </row>
    <row r="850">
      <c r="B850" s="18"/>
      <c r="C850" s="18"/>
      <c r="D850" s="18"/>
    </row>
    <row r="851">
      <c r="B851" s="18"/>
      <c r="C851" s="18"/>
      <c r="D851" s="18"/>
    </row>
    <row r="852">
      <c r="B852" s="18"/>
      <c r="C852" s="18"/>
      <c r="D852" s="18"/>
    </row>
    <row r="853">
      <c r="B853" s="18"/>
      <c r="C853" s="18"/>
      <c r="D853" s="18"/>
    </row>
    <row r="854">
      <c r="B854" s="18"/>
      <c r="C854" s="18"/>
      <c r="D854" s="18"/>
    </row>
    <row r="855">
      <c r="B855" s="18"/>
      <c r="C855" s="18"/>
      <c r="D855" s="18"/>
    </row>
    <row r="856">
      <c r="B856" s="18"/>
      <c r="C856" s="18"/>
      <c r="D856" s="18"/>
    </row>
    <row r="857">
      <c r="B857" s="18"/>
      <c r="C857" s="18"/>
      <c r="D857" s="18"/>
    </row>
    <row r="858">
      <c r="B858" s="18"/>
      <c r="C858" s="18"/>
      <c r="D858" s="18"/>
    </row>
    <row r="859">
      <c r="B859" s="18"/>
      <c r="C859" s="18"/>
      <c r="D859" s="18"/>
    </row>
    <row r="860">
      <c r="B860" s="18"/>
      <c r="C860" s="18"/>
      <c r="D860" s="18"/>
    </row>
    <row r="861">
      <c r="B861" s="18"/>
      <c r="C861" s="18"/>
      <c r="D861" s="18"/>
    </row>
    <row r="862">
      <c r="B862" s="18"/>
      <c r="C862" s="18"/>
      <c r="D862" s="18"/>
    </row>
    <row r="863">
      <c r="B863" s="18"/>
      <c r="C863" s="18"/>
      <c r="D863" s="18"/>
    </row>
    <row r="864">
      <c r="B864" s="18"/>
      <c r="C864" s="18"/>
      <c r="D864" s="18"/>
    </row>
    <row r="865">
      <c r="B865" s="18"/>
      <c r="C865" s="18"/>
      <c r="D865" s="18"/>
    </row>
    <row r="866">
      <c r="B866" s="18"/>
      <c r="C866" s="18"/>
      <c r="D866" s="18"/>
    </row>
    <row r="867">
      <c r="B867" s="18"/>
      <c r="C867" s="18"/>
      <c r="D867" s="18"/>
    </row>
    <row r="868">
      <c r="B868" s="18"/>
      <c r="C868" s="18"/>
      <c r="D868" s="18"/>
    </row>
    <row r="869">
      <c r="B869" s="18"/>
      <c r="C869" s="18"/>
      <c r="D869" s="18"/>
    </row>
    <row r="870">
      <c r="B870" s="18"/>
      <c r="C870" s="18"/>
      <c r="D870" s="18"/>
    </row>
    <row r="871">
      <c r="B871" s="18"/>
      <c r="C871" s="18"/>
      <c r="D871" s="18"/>
    </row>
    <row r="872">
      <c r="B872" s="18"/>
      <c r="C872" s="18"/>
      <c r="D872" s="18"/>
    </row>
    <row r="873">
      <c r="B873" s="18"/>
      <c r="C873" s="18"/>
      <c r="D873" s="18"/>
    </row>
    <row r="874">
      <c r="B874" s="18"/>
      <c r="C874" s="18"/>
      <c r="D874" s="18"/>
    </row>
    <row r="875">
      <c r="B875" s="18"/>
      <c r="C875" s="18"/>
      <c r="D875" s="18"/>
    </row>
    <row r="876">
      <c r="B876" s="18"/>
      <c r="C876" s="18"/>
      <c r="D876" s="18"/>
    </row>
    <row r="877">
      <c r="B877" s="18"/>
      <c r="C877" s="18"/>
      <c r="D877" s="18"/>
    </row>
    <row r="878">
      <c r="B878" s="18"/>
      <c r="C878" s="18"/>
      <c r="D878" s="18"/>
    </row>
    <row r="879">
      <c r="B879" s="18"/>
      <c r="C879" s="18"/>
      <c r="D879" s="18"/>
    </row>
    <row r="880">
      <c r="B880" s="18"/>
      <c r="C880" s="18"/>
      <c r="D880" s="18"/>
    </row>
    <row r="881">
      <c r="B881" s="18"/>
      <c r="C881" s="18"/>
      <c r="D881" s="18"/>
    </row>
    <row r="882">
      <c r="B882" s="18"/>
      <c r="C882" s="18"/>
      <c r="D882" s="18"/>
    </row>
    <row r="883">
      <c r="B883" s="18"/>
      <c r="C883" s="18"/>
      <c r="D883" s="18"/>
    </row>
    <row r="884">
      <c r="B884" s="18"/>
      <c r="C884" s="18"/>
      <c r="D884" s="18"/>
    </row>
    <row r="885">
      <c r="B885" s="18"/>
      <c r="C885" s="18"/>
      <c r="D885" s="18"/>
    </row>
    <row r="886">
      <c r="B886" s="18"/>
      <c r="C886" s="18"/>
      <c r="D886" s="18"/>
    </row>
    <row r="887">
      <c r="B887" s="18"/>
      <c r="C887" s="18"/>
      <c r="D887" s="18"/>
    </row>
    <row r="888">
      <c r="B888" s="18"/>
      <c r="C888" s="18"/>
      <c r="D888" s="18"/>
    </row>
    <row r="889">
      <c r="B889" s="18"/>
      <c r="C889" s="18"/>
      <c r="D889" s="18"/>
    </row>
    <row r="890">
      <c r="B890" s="18"/>
      <c r="C890" s="18"/>
      <c r="D890" s="18"/>
    </row>
    <row r="891">
      <c r="B891" s="18"/>
      <c r="C891" s="18"/>
      <c r="D891" s="18"/>
    </row>
    <row r="892">
      <c r="B892" s="18"/>
      <c r="C892" s="18"/>
      <c r="D892" s="18"/>
    </row>
    <row r="893">
      <c r="B893" s="18"/>
      <c r="C893" s="18"/>
      <c r="D893" s="18"/>
    </row>
    <row r="894">
      <c r="B894" s="18"/>
      <c r="C894" s="18"/>
      <c r="D894" s="18"/>
    </row>
    <row r="895">
      <c r="B895" s="18"/>
      <c r="C895" s="18"/>
      <c r="D895" s="18"/>
    </row>
    <row r="896">
      <c r="B896" s="18"/>
      <c r="C896" s="18"/>
      <c r="D896" s="18"/>
    </row>
    <row r="897">
      <c r="B897" s="18"/>
      <c r="C897" s="18"/>
      <c r="D897" s="18"/>
    </row>
    <row r="898">
      <c r="B898" s="18"/>
      <c r="C898" s="18"/>
      <c r="D898" s="18"/>
    </row>
    <row r="899">
      <c r="B899" s="18"/>
      <c r="C899" s="18"/>
      <c r="D899" s="18"/>
    </row>
    <row r="900">
      <c r="B900" s="18"/>
      <c r="C900" s="18"/>
      <c r="D900" s="18"/>
    </row>
    <row r="901">
      <c r="B901" s="18"/>
      <c r="C901" s="18"/>
      <c r="D901" s="18"/>
    </row>
    <row r="902">
      <c r="B902" s="18"/>
      <c r="C902" s="18"/>
      <c r="D902" s="18"/>
    </row>
    <row r="903">
      <c r="B903" s="18"/>
      <c r="C903" s="18"/>
      <c r="D903" s="18"/>
    </row>
    <row r="904">
      <c r="B904" s="18"/>
      <c r="C904" s="18"/>
      <c r="D904" s="18"/>
    </row>
    <row r="905">
      <c r="B905" s="18"/>
      <c r="C905" s="18"/>
      <c r="D905" s="18"/>
    </row>
    <row r="906">
      <c r="B906" s="18"/>
      <c r="C906" s="18"/>
      <c r="D906" s="18"/>
    </row>
    <row r="907">
      <c r="B907" s="18"/>
      <c r="C907" s="18"/>
      <c r="D907" s="18"/>
    </row>
    <row r="908">
      <c r="B908" s="18"/>
      <c r="C908" s="18"/>
      <c r="D908" s="18"/>
    </row>
    <row r="909">
      <c r="B909" s="18"/>
      <c r="C909" s="18"/>
      <c r="D909" s="18"/>
    </row>
    <row r="910">
      <c r="B910" s="18"/>
      <c r="C910" s="18"/>
      <c r="D910" s="18"/>
    </row>
    <row r="911">
      <c r="B911" s="18"/>
      <c r="C911" s="18"/>
      <c r="D911" s="18"/>
    </row>
    <row r="912">
      <c r="B912" s="18"/>
      <c r="C912" s="18"/>
      <c r="D912" s="18"/>
    </row>
    <row r="913">
      <c r="B913" s="18"/>
      <c r="C913" s="18"/>
      <c r="D913" s="18"/>
    </row>
    <row r="914">
      <c r="B914" s="18"/>
      <c r="C914" s="18"/>
      <c r="D914" s="18"/>
    </row>
    <row r="915">
      <c r="B915" s="18"/>
      <c r="C915" s="18"/>
      <c r="D915" s="18"/>
    </row>
    <row r="916">
      <c r="B916" s="18"/>
      <c r="C916" s="18"/>
      <c r="D916" s="18"/>
    </row>
    <row r="917">
      <c r="B917" s="18"/>
      <c r="C917" s="18"/>
      <c r="D917" s="18"/>
    </row>
    <row r="918">
      <c r="B918" s="18"/>
      <c r="C918" s="18"/>
      <c r="D918" s="18"/>
    </row>
    <row r="919">
      <c r="B919" s="18"/>
      <c r="C919" s="18"/>
      <c r="D919" s="18"/>
    </row>
    <row r="920">
      <c r="B920" s="18"/>
      <c r="C920" s="18"/>
      <c r="D920" s="18"/>
    </row>
    <row r="921">
      <c r="B921" s="18"/>
      <c r="C921" s="18"/>
      <c r="D921" s="18"/>
    </row>
    <row r="922">
      <c r="B922" s="18"/>
      <c r="C922" s="18"/>
      <c r="D922" s="18"/>
    </row>
    <row r="923">
      <c r="B923" s="18"/>
      <c r="C923" s="18"/>
      <c r="D923" s="18"/>
    </row>
    <row r="924">
      <c r="B924" s="18"/>
      <c r="C924" s="18"/>
      <c r="D924" s="18"/>
    </row>
    <row r="925">
      <c r="B925" s="18"/>
      <c r="C925" s="18"/>
      <c r="D925" s="18"/>
    </row>
    <row r="926">
      <c r="B926" s="18"/>
      <c r="C926" s="18"/>
      <c r="D926" s="18"/>
    </row>
    <row r="927">
      <c r="B927" s="18"/>
      <c r="C927" s="18"/>
      <c r="D927" s="18"/>
    </row>
    <row r="928">
      <c r="B928" s="18"/>
      <c r="C928" s="18"/>
      <c r="D928" s="18"/>
    </row>
    <row r="929">
      <c r="B929" s="18"/>
      <c r="C929" s="18"/>
      <c r="D929" s="18"/>
    </row>
    <row r="930">
      <c r="B930" s="18"/>
      <c r="C930" s="18"/>
      <c r="D930" s="18"/>
    </row>
    <row r="931">
      <c r="B931" s="18"/>
      <c r="C931" s="18"/>
      <c r="D931" s="18"/>
    </row>
    <row r="932">
      <c r="B932" s="18"/>
      <c r="C932" s="18"/>
      <c r="D932" s="18"/>
    </row>
    <row r="933">
      <c r="B933" s="18"/>
      <c r="C933" s="18"/>
      <c r="D933" s="18"/>
    </row>
    <row r="934">
      <c r="B934" s="18"/>
      <c r="C934" s="18"/>
      <c r="D934" s="18"/>
    </row>
    <row r="935">
      <c r="B935" s="18"/>
      <c r="C935" s="18"/>
      <c r="D935" s="18"/>
    </row>
    <row r="936">
      <c r="B936" s="18"/>
      <c r="C936" s="18"/>
      <c r="D936" s="18"/>
    </row>
    <row r="937">
      <c r="B937" s="18"/>
      <c r="C937" s="18"/>
      <c r="D937" s="18"/>
    </row>
    <row r="938">
      <c r="B938" s="18"/>
      <c r="C938" s="18"/>
      <c r="D938" s="18"/>
    </row>
    <row r="939">
      <c r="B939" s="18"/>
      <c r="C939" s="18"/>
      <c r="D939" s="18"/>
    </row>
    <row r="940">
      <c r="B940" s="18"/>
      <c r="C940" s="18"/>
      <c r="D940" s="18"/>
    </row>
    <row r="941">
      <c r="B941" s="18"/>
      <c r="C941" s="18"/>
      <c r="D941" s="18"/>
    </row>
    <row r="942">
      <c r="B942" s="18"/>
      <c r="C942" s="18"/>
      <c r="D942" s="18"/>
    </row>
    <row r="943">
      <c r="B943" s="18"/>
      <c r="C943" s="18"/>
      <c r="D943" s="18"/>
    </row>
    <row r="944">
      <c r="B944" s="18"/>
      <c r="C944" s="18"/>
      <c r="D944" s="18"/>
    </row>
    <row r="945">
      <c r="B945" s="18"/>
      <c r="C945" s="18"/>
      <c r="D945" s="18"/>
    </row>
    <row r="946">
      <c r="B946" s="18"/>
      <c r="C946" s="18"/>
      <c r="D946" s="18"/>
    </row>
    <row r="947">
      <c r="B947" s="18"/>
      <c r="C947" s="18"/>
      <c r="D947" s="18"/>
    </row>
    <row r="948">
      <c r="B948" s="18"/>
      <c r="C948" s="18"/>
      <c r="D948" s="18"/>
    </row>
    <row r="949">
      <c r="B949" s="18"/>
      <c r="C949" s="18"/>
      <c r="D949" s="18"/>
    </row>
    <row r="950">
      <c r="B950" s="18"/>
      <c r="C950" s="18"/>
      <c r="D950" s="18"/>
    </row>
    <row r="951">
      <c r="B951" s="18"/>
      <c r="C951" s="18"/>
      <c r="D951" s="18"/>
    </row>
    <row r="952">
      <c r="B952" s="18"/>
      <c r="C952" s="18"/>
      <c r="D952" s="18"/>
    </row>
    <row r="953">
      <c r="B953" s="18"/>
      <c r="C953" s="18"/>
      <c r="D953" s="18"/>
    </row>
    <row r="954">
      <c r="B954" s="18"/>
      <c r="C954" s="18"/>
      <c r="D954" s="18"/>
    </row>
    <row r="955">
      <c r="B955" s="18"/>
      <c r="C955" s="18"/>
      <c r="D955" s="18"/>
    </row>
    <row r="956">
      <c r="B956" s="18"/>
      <c r="C956" s="18"/>
      <c r="D956" s="18"/>
    </row>
    <row r="957">
      <c r="B957" s="18"/>
      <c r="C957" s="18"/>
      <c r="D957" s="18"/>
    </row>
    <row r="958">
      <c r="B958" s="18"/>
      <c r="C958" s="18"/>
      <c r="D958" s="18"/>
    </row>
    <row r="959">
      <c r="B959" s="18"/>
      <c r="C959" s="18"/>
      <c r="D959" s="18"/>
    </row>
    <row r="960">
      <c r="B960" s="18"/>
      <c r="C960" s="18"/>
      <c r="D960" s="18"/>
    </row>
    <row r="961">
      <c r="B961" s="18"/>
      <c r="C961" s="18"/>
      <c r="D961" s="18"/>
    </row>
    <row r="962">
      <c r="B962" s="18"/>
      <c r="C962" s="18"/>
      <c r="D962" s="18"/>
    </row>
    <row r="963">
      <c r="B963" s="18"/>
      <c r="C963" s="18"/>
      <c r="D963" s="18"/>
    </row>
    <row r="964">
      <c r="B964" s="18"/>
      <c r="C964" s="18"/>
      <c r="D964" s="18"/>
    </row>
    <row r="965">
      <c r="B965" s="18"/>
      <c r="C965" s="18"/>
      <c r="D965" s="18"/>
    </row>
    <row r="966">
      <c r="B966" s="18"/>
      <c r="C966" s="18"/>
      <c r="D966" s="18"/>
    </row>
    <row r="967">
      <c r="B967" s="18"/>
      <c r="C967" s="18"/>
      <c r="D967" s="18"/>
    </row>
    <row r="968">
      <c r="B968" s="18"/>
      <c r="C968" s="18"/>
      <c r="D968" s="18"/>
    </row>
    <row r="969">
      <c r="B969" s="18"/>
      <c r="C969" s="18"/>
      <c r="D969" s="18"/>
    </row>
    <row r="970">
      <c r="B970" s="18"/>
      <c r="C970" s="18"/>
      <c r="D970" s="18"/>
    </row>
    <row r="971">
      <c r="B971" s="18"/>
      <c r="C971" s="18"/>
      <c r="D971" s="18"/>
    </row>
    <row r="972">
      <c r="B972" s="18"/>
      <c r="C972" s="18"/>
      <c r="D972" s="18"/>
    </row>
    <row r="973">
      <c r="B973" s="18"/>
      <c r="C973" s="18"/>
      <c r="D973" s="18"/>
    </row>
    <row r="974">
      <c r="B974" s="18"/>
      <c r="C974" s="18"/>
      <c r="D974" s="18"/>
    </row>
    <row r="975">
      <c r="B975" s="18"/>
      <c r="C975" s="18"/>
      <c r="D975" s="18"/>
    </row>
    <row r="976">
      <c r="B976" s="18"/>
      <c r="C976" s="18"/>
      <c r="D976" s="18"/>
    </row>
    <row r="977">
      <c r="B977" s="18"/>
      <c r="C977" s="18"/>
      <c r="D977" s="18"/>
    </row>
    <row r="978">
      <c r="B978" s="18"/>
      <c r="C978" s="18"/>
      <c r="D978" s="18"/>
    </row>
    <row r="979">
      <c r="B979" s="18"/>
      <c r="C979" s="18"/>
      <c r="D979" s="18"/>
    </row>
    <row r="980">
      <c r="B980" s="18"/>
      <c r="C980" s="18"/>
      <c r="D980" s="18"/>
    </row>
    <row r="981">
      <c r="B981" s="18"/>
      <c r="C981" s="18"/>
      <c r="D981" s="18"/>
    </row>
    <row r="982">
      <c r="B982" s="18"/>
      <c r="C982" s="18"/>
      <c r="D982" s="18"/>
    </row>
    <row r="983">
      <c r="B983" s="18"/>
      <c r="C983" s="18"/>
      <c r="D983" s="18"/>
    </row>
    <row r="984">
      <c r="B984" s="18"/>
      <c r="C984" s="18"/>
      <c r="D984" s="18"/>
    </row>
    <row r="985">
      <c r="B985" s="18"/>
      <c r="C985" s="18"/>
      <c r="D985" s="18"/>
    </row>
    <row r="986">
      <c r="B986" s="18"/>
      <c r="C986" s="18"/>
      <c r="D986" s="18"/>
    </row>
    <row r="987">
      <c r="B987" s="18"/>
      <c r="C987" s="18"/>
      <c r="D987" s="18"/>
    </row>
    <row r="988">
      <c r="B988" s="18"/>
      <c r="C988" s="18"/>
      <c r="D988" s="18"/>
    </row>
    <row r="989">
      <c r="B989" s="18"/>
      <c r="C989" s="18"/>
      <c r="D989" s="18"/>
    </row>
    <row r="990">
      <c r="B990" s="18"/>
      <c r="C990" s="18"/>
      <c r="D990" s="18"/>
    </row>
    <row r="991">
      <c r="B991" s="18"/>
      <c r="C991" s="18"/>
      <c r="D991" s="18"/>
    </row>
    <row r="992">
      <c r="B992" s="18"/>
      <c r="C992" s="18"/>
      <c r="D992" s="18"/>
    </row>
    <row r="993">
      <c r="B993" s="18"/>
      <c r="C993" s="18"/>
      <c r="D993" s="18"/>
    </row>
    <row r="994">
      <c r="B994" s="18"/>
      <c r="C994" s="18"/>
      <c r="D994" s="18"/>
    </row>
    <row r="995">
      <c r="B995" s="18"/>
      <c r="C995" s="18"/>
      <c r="D995" s="18"/>
    </row>
    <row r="996">
      <c r="B996" s="18"/>
      <c r="C996" s="18"/>
      <c r="D996" s="18"/>
    </row>
    <row r="997">
      <c r="B997" s="18"/>
      <c r="C997" s="18"/>
      <c r="D997" s="18"/>
    </row>
    <row r="998">
      <c r="B998" s="18"/>
      <c r="C998" s="18"/>
      <c r="D998" s="18"/>
    </row>
    <row r="999">
      <c r="B999" s="18"/>
      <c r="C999" s="18"/>
      <c r="D999" s="18"/>
    </row>
    <row r="1000">
      <c r="B1000" s="18"/>
      <c r="C1000" s="18"/>
      <c r="D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23"/>
      <c r="G1" s="24"/>
    </row>
    <row r="2">
      <c r="B2" s="2" t="s">
        <v>19</v>
      </c>
      <c r="C2" s="3" t="s">
        <v>20</v>
      </c>
      <c r="D2" s="3" t="s">
        <v>21</v>
      </c>
      <c r="E2" s="3" t="s">
        <v>22</v>
      </c>
      <c r="F2" s="25" t="s">
        <v>23</v>
      </c>
      <c r="G2" s="26" t="s">
        <v>24</v>
      </c>
      <c r="H2" s="5" t="s">
        <v>25</v>
      </c>
    </row>
    <row r="3">
      <c r="B3" s="27">
        <f>'Final Schedule'!B3</f>
        <v>1</v>
      </c>
      <c r="C3" s="28">
        <f>Inputs!C3</f>
        <v>46097</v>
      </c>
      <c r="D3" s="28">
        <f>IF('Final Schedule'!C3="","",'Final Schedule'!C3)</f>
        <v>46113</v>
      </c>
      <c r="E3" s="29">
        <f t="shared" ref="E3:E99" si="1">D3-C3</f>
        <v>16</v>
      </c>
      <c r="F3" s="23">
        <f t="shared" ref="F3:F99" si="2">E3/365</f>
        <v>0.04383561644</v>
      </c>
      <c r="G3" s="24">
        <f>Inputs!$J$2*Inputs!$E$3*F3</f>
        <v>31780.82192</v>
      </c>
      <c r="H3" s="30">
        <f>IF(D3=Inputs!$D$3,Inputs!$J$2,0)</f>
        <v>0</v>
      </c>
    </row>
    <row r="4">
      <c r="B4" s="27">
        <f>'Final Schedule'!B4</f>
        <v>2</v>
      </c>
      <c r="C4" s="28">
        <f t="shared" ref="C4:C99" si="3">IF(D4 = "","",D3)</f>
        <v>46113</v>
      </c>
      <c r="D4" s="28">
        <f>IF('Final Schedule'!C4="","",'Final Schedule'!C4)</f>
        <v>46204</v>
      </c>
      <c r="E4" s="29">
        <f t="shared" si="1"/>
        <v>91</v>
      </c>
      <c r="F4" s="23">
        <f t="shared" si="2"/>
        <v>0.2493150685</v>
      </c>
      <c r="G4" s="24">
        <f>Inputs!$J$2*Inputs!$E$3*F4</f>
        <v>180753.4247</v>
      </c>
      <c r="H4" s="30">
        <f>IF(D4=Inputs!$D$3,Inputs!$J$2,0)</f>
        <v>0</v>
      </c>
    </row>
    <row r="5">
      <c r="B5" s="27">
        <f>'Final Schedule'!B5</f>
        <v>3</v>
      </c>
      <c r="C5" s="28">
        <f t="shared" si="3"/>
        <v>46204</v>
      </c>
      <c r="D5" s="28">
        <f>IF('Final Schedule'!C5="","",'Final Schedule'!C5)</f>
        <v>46296</v>
      </c>
      <c r="E5" s="29">
        <f t="shared" si="1"/>
        <v>92</v>
      </c>
      <c r="F5" s="23">
        <f t="shared" si="2"/>
        <v>0.2520547945</v>
      </c>
      <c r="G5" s="24">
        <f>Inputs!$J$2*Inputs!$E$3*F5</f>
        <v>182739.726</v>
      </c>
      <c r="H5" s="30">
        <f>IF(D5=Inputs!$D$3,Inputs!$J$2,0)</f>
        <v>0</v>
      </c>
    </row>
    <row r="6">
      <c r="B6" s="27">
        <f>'Final Schedule'!B6</f>
        <v>4</v>
      </c>
      <c r="C6" s="28">
        <f t="shared" si="3"/>
        <v>46296</v>
      </c>
      <c r="D6" s="28">
        <f>IF('Final Schedule'!C6="","",'Final Schedule'!C6)</f>
        <v>46388</v>
      </c>
      <c r="E6" s="29">
        <f t="shared" si="1"/>
        <v>92</v>
      </c>
      <c r="F6" s="23">
        <f t="shared" si="2"/>
        <v>0.2520547945</v>
      </c>
      <c r="G6" s="24">
        <f>Inputs!$J$2*Inputs!$E$3*F6</f>
        <v>182739.726</v>
      </c>
      <c r="H6" s="30">
        <f>IF(D6=Inputs!$D$3,Inputs!$J$2,0)</f>
        <v>0</v>
      </c>
    </row>
    <row r="7">
      <c r="B7" s="27">
        <f>'Final Schedule'!B7</f>
        <v>5</v>
      </c>
      <c r="C7" s="28">
        <f t="shared" si="3"/>
        <v>46388</v>
      </c>
      <c r="D7" s="28">
        <f>IF('Final Schedule'!C7="","",'Final Schedule'!C7)</f>
        <v>46478</v>
      </c>
      <c r="E7" s="29">
        <f t="shared" si="1"/>
        <v>90</v>
      </c>
      <c r="F7" s="23">
        <f t="shared" si="2"/>
        <v>0.2465753425</v>
      </c>
      <c r="G7" s="24">
        <f>Inputs!$J$2*Inputs!$E$3*F7</f>
        <v>178767.1233</v>
      </c>
      <c r="H7" s="30">
        <f>IF(D7=Inputs!$D$3,Inputs!$J$2,0)</f>
        <v>0</v>
      </c>
    </row>
    <row r="8">
      <c r="B8" s="27">
        <f>'Final Schedule'!B8</f>
        <v>6</v>
      </c>
      <c r="C8" s="28">
        <f t="shared" si="3"/>
        <v>46478</v>
      </c>
      <c r="D8" s="28">
        <f>IF('Final Schedule'!C8="","",'Final Schedule'!C8)</f>
        <v>46569</v>
      </c>
      <c r="E8" s="29">
        <f t="shared" si="1"/>
        <v>91</v>
      </c>
      <c r="F8" s="23">
        <f t="shared" si="2"/>
        <v>0.2493150685</v>
      </c>
      <c r="G8" s="24">
        <f>Inputs!$J$2*Inputs!$E$3*F8</f>
        <v>180753.4247</v>
      </c>
      <c r="H8" s="30">
        <f>IF(D8=Inputs!$D$3,Inputs!$J$2,0)</f>
        <v>0</v>
      </c>
    </row>
    <row r="9">
      <c r="B9" s="27">
        <f>'Final Schedule'!B9</f>
        <v>7</v>
      </c>
      <c r="C9" s="28">
        <f t="shared" si="3"/>
        <v>46569</v>
      </c>
      <c r="D9" s="28">
        <f>IF('Final Schedule'!C9="","",'Final Schedule'!C9)</f>
        <v>46661</v>
      </c>
      <c r="E9" s="29">
        <f t="shared" si="1"/>
        <v>92</v>
      </c>
      <c r="F9" s="23">
        <f t="shared" si="2"/>
        <v>0.2520547945</v>
      </c>
      <c r="G9" s="24">
        <f>Inputs!$J$2*Inputs!$E$3*F9</f>
        <v>182739.726</v>
      </c>
      <c r="H9" s="30">
        <f>IF(D9=Inputs!$D$3,Inputs!$J$2,0)</f>
        <v>0</v>
      </c>
    </row>
    <row r="10">
      <c r="B10" s="27">
        <f>'Final Schedule'!B10</f>
        <v>8</v>
      </c>
      <c r="C10" s="28">
        <f t="shared" si="3"/>
        <v>46661</v>
      </c>
      <c r="D10" s="28">
        <f>IF('Final Schedule'!C10="","",'Final Schedule'!C10)</f>
        <v>46753</v>
      </c>
      <c r="E10" s="29">
        <f t="shared" si="1"/>
        <v>92</v>
      </c>
      <c r="F10" s="23">
        <f t="shared" si="2"/>
        <v>0.2520547945</v>
      </c>
      <c r="G10" s="24">
        <f>Inputs!$J$2*Inputs!$E$3*F10</f>
        <v>182739.726</v>
      </c>
      <c r="H10" s="30">
        <f>IF(D10=Inputs!$D$3,Inputs!$J$2,0)</f>
        <v>0</v>
      </c>
    </row>
    <row r="11">
      <c r="B11" s="27">
        <f>'Final Schedule'!B11</f>
        <v>9</v>
      </c>
      <c r="C11" s="28">
        <f t="shared" si="3"/>
        <v>46753</v>
      </c>
      <c r="D11" s="28">
        <f>IF('Final Schedule'!C11="","",'Final Schedule'!C11)</f>
        <v>46844</v>
      </c>
      <c r="E11" s="29">
        <f t="shared" si="1"/>
        <v>91</v>
      </c>
      <c r="F11" s="23">
        <f t="shared" si="2"/>
        <v>0.2493150685</v>
      </c>
      <c r="G11" s="24">
        <f>Inputs!$J$2*Inputs!$E$3*F11</f>
        <v>180753.4247</v>
      </c>
      <c r="H11" s="30">
        <f>IF(D11=Inputs!$D$3,Inputs!$J$2,0)</f>
        <v>0</v>
      </c>
    </row>
    <row r="12">
      <c r="B12" s="27">
        <f>'Final Schedule'!B12</f>
        <v>10</v>
      </c>
      <c r="C12" s="28">
        <f t="shared" si="3"/>
        <v>46844</v>
      </c>
      <c r="D12" s="28">
        <f>IF('Final Schedule'!C12="","",'Final Schedule'!C12)</f>
        <v>46935</v>
      </c>
      <c r="E12" s="29">
        <f t="shared" si="1"/>
        <v>91</v>
      </c>
      <c r="F12" s="23">
        <f t="shared" si="2"/>
        <v>0.2493150685</v>
      </c>
      <c r="G12" s="24">
        <f>Inputs!$J$2*Inputs!$E$3*F12</f>
        <v>180753.4247</v>
      </c>
      <c r="H12" s="30">
        <f>IF(D12=Inputs!$D$3,Inputs!$J$2,0)</f>
        <v>0</v>
      </c>
    </row>
    <row r="13">
      <c r="B13" s="27">
        <f>'Final Schedule'!B13</f>
        <v>11</v>
      </c>
      <c r="C13" s="28">
        <f t="shared" si="3"/>
        <v>46935</v>
      </c>
      <c r="D13" s="28">
        <f>IF('Final Schedule'!C13="","",'Final Schedule'!C13)</f>
        <v>47027</v>
      </c>
      <c r="E13" s="29">
        <f t="shared" si="1"/>
        <v>92</v>
      </c>
      <c r="F13" s="23">
        <f t="shared" si="2"/>
        <v>0.2520547945</v>
      </c>
      <c r="G13" s="24">
        <f>Inputs!$J$2*Inputs!$E$3*F13</f>
        <v>182739.726</v>
      </c>
      <c r="H13" s="30">
        <f>IF(D13=Inputs!$D$3,Inputs!$J$2,0)</f>
        <v>0</v>
      </c>
    </row>
    <row r="14">
      <c r="B14" s="27">
        <f>'Final Schedule'!B14</f>
        <v>12</v>
      </c>
      <c r="C14" s="28">
        <f t="shared" si="3"/>
        <v>47027</v>
      </c>
      <c r="D14" s="28">
        <f>IF('Final Schedule'!C14="","",'Final Schedule'!C14)</f>
        <v>47119</v>
      </c>
      <c r="E14" s="29">
        <f t="shared" si="1"/>
        <v>92</v>
      </c>
      <c r="F14" s="23">
        <f t="shared" si="2"/>
        <v>0.2520547945</v>
      </c>
      <c r="G14" s="24">
        <f>Inputs!$J$2*Inputs!$E$3*F14</f>
        <v>182739.726</v>
      </c>
      <c r="H14" s="30">
        <f>IF(D14=Inputs!$D$3,Inputs!$J$2,0)</f>
        <v>0</v>
      </c>
    </row>
    <row r="15">
      <c r="B15" s="27">
        <f>'Final Schedule'!B15</f>
        <v>13</v>
      </c>
      <c r="C15" s="28">
        <f t="shared" si="3"/>
        <v>47119</v>
      </c>
      <c r="D15" s="28">
        <f>IF('Final Schedule'!C15="","",'Final Schedule'!C15)</f>
        <v>47209</v>
      </c>
      <c r="E15" s="29">
        <f t="shared" si="1"/>
        <v>90</v>
      </c>
      <c r="F15" s="23">
        <f t="shared" si="2"/>
        <v>0.2465753425</v>
      </c>
      <c r="G15" s="24">
        <f>Inputs!$J$2*Inputs!$E$3*F15</f>
        <v>178767.1233</v>
      </c>
      <c r="H15" s="30">
        <f>IF(D15=Inputs!$D$3,Inputs!$J$2,0)</f>
        <v>0</v>
      </c>
    </row>
    <row r="16">
      <c r="B16" s="27">
        <f>'Final Schedule'!B16</f>
        <v>14</v>
      </c>
      <c r="C16" s="28">
        <f t="shared" si="3"/>
        <v>47209</v>
      </c>
      <c r="D16" s="28">
        <f>IF('Final Schedule'!C16="","",'Final Schedule'!C16)</f>
        <v>47300</v>
      </c>
      <c r="E16" s="29">
        <f t="shared" si="1"/>
        <v>91</v>
      </c>
      <c r="F16" s="23">
        <f t="shared" si="2"/>
        <v>0.2493150685</v>
      </c>
      <c r="G16" s="24">
        <f>Inputs!$J$2*Inputs!$E$3*F16</f>
        <v>180753.4247</v>
      </c>
      <c r="H16" s="30">
        <f>IF(D16=Inputs!$D$3,Inputs!$J$2,0)</f>
        <v>0</v>
      </c>
    </row>
    <row r="17">
      <c r="B17" s="27">
        <f>'Final Schedule'!B17</f>
        <v>15</v>
      </c>
      <c r="C17" s="28">
        <f t="shared" si="3"/>
        <v>47300</v>
      </c>
      <c r="D17" s="28">
        <f>IF('Final Schedule'!C17="","",'Final Schedule'!C17)</f>
        <v>47392</v>
      </c>
      <c r="E17" s="29">
        <f t="shared" si="1"/>
        <v>92</v>
      </c>
      <c r="F17" s="23">
        <f t="shared" si="2"/>
        <v>0.2520547945</v>
      </c>
      <c r="G17" s="24">
        <f>Inputs!$J$2*Inputs!$E$3*F17</f>
        <v>182739.726</v>
      </c>
      <c r="H17" s="30">
        <f>IF(D17=Inputs!$D$3,Inputs!$J$2,0)</f>
        <v>0</v>
      </c>
    </row>
    <row r="18">
      <c r="B18" s="27">
        <f>'Final Schedule'!B18</f>
        <v>16</v>
      </c>
      <c r="C18" s="28">
        <f t="shared" si="3"/>
        <v>47392</v>
      </c>
      <c r="D18" s="28">
        <f>IF('Final Schedule'!C18="","",'Final Schedule'!C18)</f>
        <v>47484</v>
      </c>
      <c r="E18" s="29">
        <f t="shared" si="1"/>
        <v>92</v>
      </c>
      <c r="F18" s="23">
        <f t="shared" si="2"/>
        <v>0.2520547945</v>
      </c>
      <c r="G18" s="24">
        <f>Inputs!$J$2*Inputs!$E$3*F18</f>
        <v>182739.726</v>
      </c>
      <c r="H18" s="30">
        <f>IF(D18=Inputs!$D$3,Inputs!$J$2,0)</f>
        <v>0</v>
      </c>
    </row>
    <row r="19">
      <c r="B19" s="27">
        <f>'Final Schedule'!B19</f>
        <v>17</v>
      </c>
      <c r="C19" s="28">
        <f t="shared" si="3"/>
        <v>47484</v>
      </c>
      <c r="D19" s="28">
        <f>IF('Final Schedule'!C19="","",'Final Schedule'!C19)</f>
        <v>47574</v>
      </c>
      <c r="E19" s="29">
        <f t="shared" si="1"/>
        <v>90</v>
      </c>
      <c r="F19" s="23">
        <f t="shared" si="2"/>
        <v>0.2465753425</v>
      </c>
      <c r="G19" s="24">
        <f>Inputs!$J$2*Inputs!$E$3*F19</f>
        <v>178767.1233</v>
      </c>
      <c r="H19" s="30">
        <f>IF(D19=Inputs!$D$3,Inputs!$J$2,0)</f>
        <v>0</v>
      </c>
    </row>
    <row r="20">
      <c r="B20" s="27">
        <f>'Final Schedule'!B20</f>
        <v>18</v>
      </c>
      <c r="C20" s="28">
        <f t="shared" si="3"/>
        <v>47574</v>
      </c>
      <c r="D20" s="28">
        <f>IF('Final Schedule'!C20="","",'Final Schedule'!C20)</f>
        <v>47665</v>
      </c>
      <c r="E20" s="29">
        <f t="shared" si="1"/>
        <v>91</v>
      </c>
      <c r="F20" s="23">
        <f t="shared" si="2"/>
        <v>0.2493150685</v>
      </c>
      <c r="G20" s="24">
        <f>Inputs!$J$2*Inputs!$E$3*F20</f>
        <v>180753.4247</v>
      </c>
      <c r="H20" s="30">
        <f>IF(D20=Inputs!$D$3,Inputs!$J$2,0)</f>
        <v>0</v>
      </c>
    </row>
    <row r="21">
      <c r="B21" s="27">
        <f>'Final Schedule'!B21</f>
        <v>19</v>
      </c>
      <c r="C21" s="28">
        <f t="shared" si="3"/>
        <v>47665</v>
      </c>
      <c r="D21" s="28">
        <f>IF('Final Schedule'!C21="","",'Final Schedule'!C21)</f>
        <v>47757</v>
      </c>
      <c r="E21" s="29">
        <f t="shared" si="1"/>
        <v>92</v>
      </c>
      <c r="F21" s="23">
        <f t="shared" si="2"/>
        <v>0.2520547945</v>
      </c>
      <c r="G21" s="24">
        <f>Inputs!$J$2*Inputs!$E$3*F21</f>
        <v>182739.726</v>
      </c>
      <c r="H21" s="30">
        <f>IF(D21=Inputs!$D$3,Inputs!$J$2,0)</f>
        <v>0</v>
      </c>
    </row>
    <row r="22">
      <c r="B22" s="27">
        <f>'Final Schedule'!B22</f>
        <v>20</v>
      </c>
      <c r="C22" s="28">
        <f t="shared" si="3"/>
        <v>47757</v>
      </c>
      <c r="D22" s="28">
        <f>IF('Final Schedule'!C22="","",'Final Schedule'!C22)</f>
        <v>47849</v>
      </c>
      <c r="E22" s="29">
        <f t="shared" si="1"/>
        <v>92</v>
      </c>
      <c r="F22" s="23">
        <f t="shared" si="2"/>
        <v>0.2520547945</v>
      </c>
      <c r="G22" s="24">
        <f>Inputs!$J$2*Inputs!$E$3*F22</f>
        <v>182739.726</v>
      </c>
      <c r="H22" s="30">
        <f>IF(D22=Inputs!$D$3,Inputs!$J$2,0)</f>
        <v>0</v>
      </c>
    </row>
    <row r="23">
      <c r="B23" s="27">
        <f>'Final Schedule'!B23</f>
        <v>21</v>
      </c>
      <c r="C23" s="28">
        <f t="shared" si="3"/>
        <v>47849</v>
      </c>
      <c r="D23" s="28">
        <f>IF('Final Schedule'!C23="","",'Final Schedule'!C23)</f>
        <v>47939</v>
      </c>
      <c r="E23" s="29">
        <f t="shared" si="1"/>
        <v>90</v>
      </c>
      <c r="F23" s="23">
        <f t="shared" si="2"/>
        <v>0.2465753425</v>
      </c>
      <c r="G23" s="24">
        <f>Inputs!$J$2*Inputs!$E$3*F23</f>
        <v>178767.1233</v>
      </c>
      <c r="H23" s="30">
        <f>IF(D23=Inputs!$D$3,Inputs!$J$2,0)</f>
        <v>0</v>
      </c>
    </row>
    <row r="24">
      <c r="B24" s="27">
        <f>'Final Schedule'!B24</f>
        <v>22</v>
      </c>
      <c r="C24" s="28">
        <f t="shared" si="3"/>
        <v>47939</v>
      </c>
      <c r="D24" s="28">
        <f>IF('Final Schedule'!C24="","",'Final Schedule'!C24)</f>
        <v>48030</v>
      </c>
      <c r="E24" s="29">
        <f t="shared" si="1"/>
        <v>91</v>
      </c>
      <c r="F24" s="23">
        <f t="shared" si="2"/>
        <v>0.2493150685</v>
      </c>
      <c r="G24" s="24">
        <f>Inputs!$J$2*Inputs!$E$3*F24</f>
        <v>180753.4247</v>
      </c>
      <c r="H24" s="30">
        <f>IF(D24=Inputs!$D$3,Inputs!$J$2,0)</f>
        <v>0</v>
      </c>
    </row>
    <row r="25">
      <c r="B25" s="27">
        <f>'Final Schedule'!B25</f>
        <v>23</v>
      </c>
      <c r="C25" s="28">
        <f t="shared" si="3"/>
        <v>48030</v>
      </c>
      <c r="D25" s="28">
        <f>IF('Final Schedule'!C25="","",'Final Schedule'!C25)</f>
        <v>48122</v>
      </c>
      <c r="E25" s="29">
        <f t="shared" si="1"/>
        <v>92</v>
      </c>
      <c r="F25" s="23">
        <f t="shared" si="2"/>
        <v>0.2520547945</v>
      </c>
      <c r="G25" s="24">
        <f>Inputs!$J$2*Inputs!$E$3*F25</f>
        <v>182739.726</v>
      </c>
      <c r="H25" s="30">
        <f>IF(D25=Inputs!$D$3,Inputs!$J$2,0)</f>
        <v>0</v>
      </c>
    </row>
    <row r="26">
      <c r="B26" s="27">
        <f>'Final Schedule'!B26</f>
        <v>24</v>
      </c>
      <c r="C26" s="28">
        <f t="shared" si="3"/>
        <v>48122</v>
      </c>
      <c r="D26" s="28">
        <f>IF('Final Schedule'!C26="","",'Final Schedule'!C26)</f>
        <v>48214</v>
      </c>
      <c r="E26" s="29">
        <f t="shared" si="1"/>
        <v>92</v>
      </c>
      <c r="F26" s="23">
        <f t="shared" si="2"/>
        <v>0.2520547945</v>
      </c>
      <c r="G26" s="24">
        <f>Inputs!$J$2*Inputs!$E$3*F26</f>
        <v>182739.726</v>
      </c>
      <c r="H26" s="30">
        <f>IF(D26=Inputs!$D$3,Inputs!$J$2,0)</f>
        <v>0</v>
      </c>
    </row>
    <row r="27">
      <c r="B27" s="27">
        <f>'Final Schedule'!B27</f>
        <v>25</v>
      </c>
      <c r="C27" s="28">
        <f t="shared" si="3"/>
        <v>48214</v>
      </c>
      <c r="D27" s="28">
        <f>IF('Final Schedule'!C27="","",'Final Schedule'!C27)</f>
        <v>48305</v>
      </c>
      <c r="E27" s="29">
        <f t="shared" si="1"/>
        <v>91</v>
      </c>
      <c r="F27" s="23">
        <f t="shared" si="2"/>
        <v>0.2493150685</v>
      </c>
      <c r="G27" s="24">
        <f>Inputs!$J$2*Inputs!$E$3*F27</f>
        <v>180753.4247</v>
      </c>
      <c r="H27" s="30">
        <f>IF(D27=Inputs!$D$3,Inputs!$J$2,0)</f>
        <v>0</v>
      </c>
    </row>
    <row r="28">
      <c r="B28" s="27">
        <f>'Final Schedule'!B28</f>
        <v>26</v>
      </c>
      <c r="C28" s="28">
        <f t="shared" si="3"/>
        <v>48305</v>
      </c>
      <c r="D28" s="28">
        <f>IF('Final Schedule'!C28="","",'Final Schedule'!C28)</f>
        <v>48396</v>
      </c>
      <c r="E28" s="29">
        <f t="shared" si="1"/>
        <v>91</v>
      </c>
      <c r="F28" s="23">
        <f t="shared" si="2"/>
        <v>0.2493150685</v>
      </c>
      <c r="G28" s="24">
        <f>Inputs!$J$2*Inputs!$E$3*F28</f>
        <v>180753.4247</v>
      </c>
      <c r="H28" s="30">
        <f>IF(D28=Inputs!$D$3,Inputs!$J$2,0)</f>
        <v>0</v>
      </c>
    </row>
    <row r="29">
      <c r="B29" s="27">
        <f>'Final Schedule'!B29</f>
        <v>27</v>
      </c>
      <c r="C29" s="28">
        <f t="shared" si="3"/>
        <v>48396</v>
      </c>
      <c r="D29" s="28">
        <f>IF('Final Schedule'!C29="","",'Final Schedule'!C29)</f>
        <v>48488</v>
      </c>
      <c r="E29" s="29">
        <f t="shared" si="1"/>
        <v>92</v>
      </c>
      <c r="F29" s="23">
        <f t="shared" si="2"/>
        <v>0.2520547945</v>
      </c>
      <c r="G29" s="24">
        <f>Inputs!$J$2*Inputs!$E$3*F29</f>
        <v>182739.726</v>
      </c>
      <c r="H29" s="30">
        <f>IF(D29=Inputs!$D$3,Inputs!$J$2,0)</f>
        <v>0</v>
      </c>
    </row>
    <row r="30">
      <c r="B30" s="27">
        <f>'Final Schedule'!B30</f>
        <v>28</v>
      </c>
      <c r="C30" s="28">
        <f t="shared" si="3"/>
        <v>48488</v>
      </c>
      <c r="D30" s="28">
        <f>IF('Final Schedule'!C30="","",'Final Schedule'!C30)</f>
        <v>48580</v>
      </c>
      <c r="E30" s="29">
        <f t="shared" si="1"/>
        <v>92</v>
      </c>
      <c r="F30" s="23">
        <f t="shared" si="2"/>
        <v>0.2520547945</v>
      </c>
      <c r="G30" s="24">
        <f>Inputs!$J$2*Inputs!$E$3*F30</f>
        <v>182739.726</v>
      </c>
      <c r="H30" s="30">
        <f>IF(D30=Inputs!$D$3,Inputs!$J$2,0)</f>
        <v>0</v>
      </c>
    </row>
    <row r="31">
      <c r="B31" s="27">
        <f>'Final Schedule'!B31</f>
        <v>29</v>
      </c>
      <c r="C31" s="28">
        <f t="shared" si="3"/>
        <v>48580</v>
      </c>
      <c r="D31" s="28">
        <f>IF('Final Schedule'!C31="","",'Final Schedule'!C31)</f>
        <v>48670</v>
      </c>
      <c r="E31" s="29">
        <f t="shared" si="1"/>
        <v>90</v>
      </c>
      <c r="F31" s="23">
        <f t="shared" si="2"/>
        <v>0.2465753425</v>
      </c>
      <c r="G31" s="24">
        <f>Inputs!$J$2*Inputs!$E$3*F31</f>
        <v>178767.1233</v>
      </c>
      <c r="H31" s="30">
        <f>IF(D31=Inputs!$D$3,Inputs!$J$2,0)</f>
        <v>0</v>
      </c>
    </row>
    <row r="32">
      <c r="B32" s="27">
        <f>'Final Schedule'!B32</f>
        <v>30</v>
      </c>
      <c r="C32" s="28">
        <f t="shared" si="3"/>
        <v>48670</v>
      </c>
      <c r="D32" s="28">
        <f>IF('Final Schedule'!C32="","",'Final Schedule'!C32)</f>
        <v>48761</v>
      </c>
      <c r="E32" s="29">
        <f t="shared" si="1"/>
        <v>91</v>
      </c>
      <c r="F32" s="23">
        <f t="shared" si="2"/>
        <v>0.2493150685</v>
      </c>
      <c r="G32" s="24">
        <f>Inputs!$J$2*Inputs!$E$3*F32</f>
        <v>180753.4247</v>
      </c>
      <c r="H32" s="30">
        <f>IF(D32=Inputs!$D$3,Inputs!$J$2,0)</f>
        <v>0</v>
      </c>
    </row>
    <row r="33">
      <c r="B33" s="27">
        <f>'Final Schedule'!B33</f>
        <v>31</v>
      </c>
      <c r="C33" s="28">
        <f t="shared" si="3"/>
        <v>48761</v>
      </c>
      <c r="D33" s="28">
        <f>IF('Final Schedule'!C33="","",'Final Schedule'!C33)</f>
        <v>48853</v>
      </c>
      <c r="E33" s="29">
        <f t="shared" si="1"/>
        <v>92</v>
      </c>
      <c r="F33" s="23">
        <f t="shared" si="2"/>
        <v>0.2520547945</v>
      </c>
      <c r="G33" s="24">
        <f>Inputs!$J$2*Inputs!$E$3*F33</f>
        <v>182739.726</v>
      </c>
      <c r="H33" s="30">
        <f>IF(D33=Inputs!$D$3,Inputs!$J$2,0)</f>
        <v>0</v>
      </c>
    </row>
    <row r="34">
      <c r="B34" s="27">
        <f>'Final Schedule'!B34</f>
        <v>32</v>
      </c>
      <c r="C34" s="28">
        <f t="shared" si="3"/>
        <v>48853</v>
      </c>
      <c r="D34" s="28">
        <f>IF('Final Schedule'!C34="","",'Final Schedule'!C34)</f>
        <v>48945</v>
      </c>
      <c r="E34" s="29">
        <f t="shared" si="1"/>
        <v>92</v>
      </c>
      <c r="F34" s="23">
        <f t="shared" si="2"/>
        <v>0.2520547945</v>
      </c>
      <c r="G34" s="24">
        <f>Inputs!$J$2*Inputs!$E$3*F34</f>
        <v>182739.726</v>
      </c>
      <c r="H34" s="30">
        <f>IF(D34=Inputs!$D$3,Inputs!$J$2,0)</f>
        <v>0</v>
      </c>
    </row>
    <row r="35">
      <c r="B35" s="27">
        <f>'Final Schedule'!B35</f>
        <v>33</v>
      </c>
      <c r="C35" s="28">
        <f t="shared" si="3"/>
        <v>48945</v>
      </c>
      <c r="D35" s="28">
        <f>IF('Final Schedule'!C35="","",'Final Schedule'!C35)</f>
        <v>49035</v>
      </c>
      <c r="E35" s="29">
        <f t="shared" si="1"/>
        <v>90</v>
      </c>
      <c r="F35" s="23">
        <f t="shared" si="2"/>
        <v>0.2465753425</v>
      </c>
      <c r="G35" s="24">
        <f>Inputs!$J$2*Inputs!$E$3*F35</f>
        <v>178767.1233</v>
      </c>
      <c r="H35" s="30">
        <f>IF(D35=Inputs!$D$3,Inputs!$J$2,0)</f>
        <v>0</v>
      </c>
    </row>
    <row r="36">
      <c r="B36" s="27">
        <f>'Final Schedule'!B36</f>
        <v>34</v>
      </c>
      <c r="C36" s="28">
        <f t="shared" si="3"/>
        <v>49035</v>
      </c>
      <c r="D36" s="28">
        <f>IF('Final Schedule'!C36="","",'Final Schedule'!C36)</f>
        <v>49126</v>
      </c>
      <c r="E36" s="29">
        <f t="shared" si="1"/>
        <v>91</v>
      </c>
      <c r="F36" s="23">
        <f t="shared" si="2"/>
        <v>0.2493150685</v>
      </c>
      <c r="G36" s="24">
        <f>Inputs!$J$2*Inputs!$E$3*F36</f>
        <v>180753.4247</v>
      </c>
      <c r="H36" s="30">
        <f>IF(D36=Inputs!$D$3,Inputs!$J$2,0)</f>
        <v>0</v>
      </c>
    </row>
    <row r="37">
      <c r="B37" s="27">
        <f>'Final Schedule'!B37</f>
        <v>35</v>
      </c>
      <c r="C37" s="28">
        <f t="shared" si="3"/>
        <v>49126</v>
      </c>
      <c r="D37" s="28">
        <f>IF('Final Schedule'!C37="","",'Final Schedule'!C37)</f>
        <v>49218</v>
      </c>
      <c r="E37" s="29">
        <f t="shared" si="1"/>
        <v>92</v>
      </c>
      <c r="F37" s="23">
        <f t="shared" si="2"/>
        <v>0.2520547945</v>
      </c>
      <c r="G37" s="24">
        <f>Inputs!$J$2*Inputs!$E$3*F37</f>
        <v>182739.726</v>
      </c>
      <c r="H37" s="30">
        <f>IF(D37=Inputs!$D$3,Inputs!$J$2,0)</f>
        <v>0</v>
      </c>
    </row>
    <row r="38">
      <c r="B38" s="27">
        <f>'Final Schedule'!B38</f>
        <v>36</v>
      </c>
      <c r="C38" s="28">
        <f t="shared" si="3"/>
        <v>49218</v>
      </c>
      <c r="D38" s="28">
        <f>IF('Final Schedule'!C38="","",'Final Schedule'!C38)</f>
        <v>49310</v>
      </c>
      <c r="E38" s="29">
        <f t="shared" si="1"/>
        <v>92</v>
      </c>
      <c r="F38" s="23">
        <f t="shared" si="2"/>
        <v>0.2520547945</v>
      </c>
      <c r="G38" s="24">
        <f>Inputs!$J$2*Inputs!$E$3*F38</f>
        <v>182739.726</v>
      </c>
      <c r="H38" s="30">
        <f>IF(D38=Inputs!$D$3,Inputs!$J$2,0)</f>
        <v>0</v>
      </c>
    </row>
    <row r="39">
      <c r="B39" s="27">
        <f>'Final Schedule'!B39</f>
        <v>37</v>
      </c>
      <c r="C39" s="28">
        <f t="shared" si="3"/>
        <v>49310</v>
      </c>
      <c r="D39" s="28">
        <f>IF('Final Schedule'!C39="","",'Final Schedule'!C39)</f>
        <v>49400</v>
      </c>
      <c r="E39" s="29">
        <f t="shared" si="1"/>
        <v>90</v>
      </c>
      <c r="F39" s="23">
        <f t="shared" si="2"/>
        <v>0.2465753425</v>
      </c>
      <c r="G39" s="24">
        <f>Inputs!$J$2*Inputs!$E$3*F39</f>
        <v>178767.1233</v>
      </c>
      <c r="H39" s="30">
        <f>IF(D39=Inputs!$D$3,Inputs!$J$2,0)</f>
        <v>0</v>
      </c>
    </row>
    <row r="40">
      <c r="B40" s="27">
        <f>'Final Schedule'!B40</f>
        <v>38</v>
      </c>
      <c r="C40" s="28">
        <f t="shared" si="3"/>
        <v>49400</v>
      </c>
      <c r="D40" s="28">
        <f>IF('Final Schedule'!C40="","",'Final Schedule'!C40)</f>
        <v>49491</v>
      </c>
      <c r="E40" s="29">
        <f t="shared" si="1"/>
        <v>91</v>
      </c>
      <c r="F40" s="23">
        <f t="shared" si="2"/>
        <v>0.2493150685</v>
      </c>
      <c r="G40" s="24">
        <f>Inputs!$J$2*Inputs!$E$3*F40</f>
        <v>180753.4247</v>
      </c>
      <c r="H40" s="30">
        <f>IF(D40=Inputs!$D$3,Inputs!$J$2,0)</f>
        <v>0</v>
      </c>
    </row>
    <row r="41">
      <c r="B41" s="27">
        <f>'Final Schedule'!B41</f>
        <v>39</v>
      </c>
      <c r="C41" s="28">
        <f t="shared" si="3"/>
        <v>49491</v>
      </c>
      <c r="D41" s="28">
        <f>IF('Final Schedule'!C41="","",'Final Schedule'!C41)</f>
        <v>49583</v>
      </c>
      <c r="E41" s="29">
        <f t="shared" si="1"/>
        <v>92</v>
      </c>
      <c r="F41" s="23">
        <f t="shared" si="2"/>
        <v>0.2520547945</v>
      </c>
      <c r="G41" s="24">
        <f>Inputs!$J$2*Inputs!$E$3*F41</f>
        <v>182739.726</v>
      </c>
      <c r="H41" s="30">
        <f>IF(D41=Inputs!$D$3,Inputs!$J$2,0)</f>
        <v>0</v>
      </c>
    </row>
    <row r="42">
      <c r="B42" s="27">
        <f>'Final Schedule'!B42</f>
        <v>40</v>
      </c>
      <c r="C42" s="28">
        <f t="shared" si="3"/>
        <v>49583</v>
      </c>
      <c r="D42" s="28">
        <f>IF('Final Schedule'!C42="","",'Final Schedule'!C42)</f>
        <v>49675</v>
      </c>
      <c r="E42" s="29">
        <f t="shared" si="1"/>
        <v>92</v>
      </c>
      <c r="F42" s="23">
        <f t="shared" si="2"/>
        <v>0.2520547945</v>
      </c>
      <c r="G42" s="24">
        <f>Inputs!$J$2*Inputs!$E$3*F42</f>
        <v>182739.726</v>
      </c>
      <c r="H42" s="30">
        <f>IF(D42=Inputs!$D$3,Inputs!$J$2,0)</f>
        <v>0</v>
      </c>
    </row>
    <row r="43">
      <c r="B43" s="27">
        <f>'Final Schedule'!B43</f>
        <v>41</v>
      </c>
      <c r="C43" s="28">
        <f t="shared" si="3"/>
        <v>49675</v>
      </c>
      <c r="D43" s="28">
        <f>IF('Final Schedule'!C43="","",'Final Schedule'!C43)</f>
        <v>49766</v>
      </c>
      <c r="E43" s="29">
        <f t="shared" si="1"/>
        <v>91</v>
      </c>
      <c r="F43" s="23">
        <f t="shared" si="2"/>
        <v>0.2493150685</v>
      </c>
      <c r="G43" s="24">
        <f>Inputs!$J$2*Inputs!$E$3*F43</f>
        <v>180753.4247</v>
      </c>
      <c r="H43" s="30">
        <f>IF(D43=Inputs!$D$3,Inputs!$J$2,0)</f>
        <v>0</v>
      </c>
    </row>
    <row r="44">
      <c r="B44" s="27">
        <f>'Final Schedule'!B44</f>
        <v>42</v>
      </c>
      <c r="C44" s="28">
        <f t="shared" si="3"/>
        <v>49766</v>
      </c>
      <c r="D44" s="28">
        <f>IF('Final Schedule'!C44="","",'Final Schedule'!C44)</f>
        <v>49857</v>
      </c>
      <c r="E44" s="29">
        <f t="shared" si="1"/>
        <v>91</v>
      </c>
      <c r="F44" s="23">
        <f t="shared" si="2"/>
        <v>0.2493150685</v>
      </c>
      <c r="G44" s="24">
        <f>Inputs!$J$2*Inputs!$E$3*F44</f>
        <v>180753.4247</v>
      </c>
      <c r="H44" s="30">
        <f>IF(D44=Inputs!$D$3,Inputs!$J$2,0)</f>
        <v>0</v>
      </c>
    </row>
    <row r="45">
      <c r="B45" s="27">
        <f>'Final Schedule'!B45</f>
        <v>43</v>
      </c>
      <c r="C45" s="28">
        <f t="shared" si="3"/>
        <v>49857</v>
      </c>
      <c r="D45" s="28">
        <f>IF('Final Schedule'!C45="","",'Final Schedule'!C45)</f>
        <v>49949</v>
      </c>
      <c r="E45" s="29">
        <f t="shared" si="1"/>
        <v>92</v>
      </c>
      <c r="F45" s="23">
        <f t="shared" si="2"/>
        <v>0.2520547945</v>
      </c>
      <c r="G45" s="24">
        <f>Inputs!$J$2*Inputs!$E$3*F45</f>
        <v>182739.726</v>
      </c>
      <c r="H45" s="30">
        <f>IF(D45=Inputs!$D$3,Inputs!$J$2,0)</f>
        <v>0</v>
      </c>
    </row>
    <row r="46">
      <c r="B46" s="27">
        <f>'Final Schedule'!B46</f>
        <v>44</v>
      </c>
      <c r="C46" s="28">
        <f t="shared" si="3"/>
        <v>49949</v>
      </c>
      <c r="D46" s="28">
        <f>IF('Final Schedule'!C46="","",'Final Schedule'!C46)</f>
        <v>50041</v>
      </c>
      <c r="E46" s="29">
        <f t="shared" si="1"/>
        <v>92</v>
      </c>
      <c r="F46" s="23">
        <f t="shared" si="2"/>
        <v>0.2520547945</v>
      </c>
      <c r="G46" s="24">
        <f>Inputs!$J$2*Inputs!$E$3*F46</f>
        <v>182739.726</v>
      </c>
      <c r="H46" s="30">
        <f>IF(D46=Inputs!$D$3,Inputs!$J$2,0)</f>
        <v>0</v>
      </c>
    </row>
    <row r="47">
      <c r="B47" s="27">
        <f>'Final Schedule'!B47</f>
        <v>45</v>
      </c>
      <c r="C47" s="28">
        <f t="shared" si="3"/>
        <v>50041</v>
      </c>
      <c r="D47" s="28">
        <f>IF('Final Schedule'!C47="","",'Final Schedule'!C47)</f>
        <v>50131</v>
      </c>
      <c r="E47" s="29">
        <f t="shared" si="1"/>
        <v>90</v>
      </c>
      <c r="F47" s="23">
        <f t="shared" si="2"/>
        <v>0.2465753425</v>
      </c>
      <c r="G47" s="24">
        <f>Inputs!$J$2*Inputs!$E$3*F47</f>
        <v>178767.1233</v>
      </c>
      <c r="H47" s="30">
        <f>IF(D47=Inputs!$D$3,Inputs!$J$2,0)</f>
        <v>0</v>
      </c>
    </row>
    <row r="48">
      <c r="B48" s="27">
        <f>'Final Schedule'!B48</f>
        <v>46</v>
      </c>
      <c r="C48" s="28">
        <f t="shared" si="3"/>
        <v>50131</v>
      </c>
      <c r="D48" s="28">
        <f>IF('Final Schedule'!C48="","",'Final Schedule'!C48)</f>
        <v>50222</v>
      </c>
      <c r="E48" s="29">
        <f t="shared" si="1"/>
        <v>91</v>
      </c>
      <c r="F48" s="23">
        <f t="shared" si="2"/>
        <v>0.2493150685</v>
      </c>
      <c r="G48" s="24">
        <f>Inputs!$J$2*Inputs!$E$3*F48</f>
        <v>180753.4247</v>
      </c>
      <c r="H48" s="30">
        <f>IF(D48=Inputs!$D$3,Inputs!$J$2,0)</f>
        <v>0</v>
      </c>
    </row>
    <row r="49">
      <c r="B49" s="27">
        <f>'Final Schedule'!B49</f>
        <v>47</v>
      </c>
      <c r="C49" s="28">
        <f t="shared" si="3"/>
        <v>50222</v>
      </c>
      <c r="D49" s="28">
        <f>IF('Final Schedule'!C49="","",'Final Schedule'!C49)</f>
        <v>50314</v>
      </c>
      <c r="E49" s="29">
        <f t="shared" si="1"/>
        <v>92</v>
      </c>
      <c r="F49" s="23">
        <f t="shared" si="2"/>
        <v>0.2520547945</v>
      </c>
      <c r="G49" s="24">
        <f>Inputs!$J$2*Inputs!$E$3*F49</f>
        <v>182739.726</v>
      </c>
      <c r="H49" s="30">
        <f>IF(D49=Inputs!$D$3,Inputs!$J$2,0)</f>
        <v>0</v>
      </c>
    </row>
    <row r="50">
      <c r="B50" s="27">
        <f>'Final Schedule'!B50</f>
        <v>48</v>
      </c>
      <c r="C50" s="28">
        <f t="shared" si="3"/>
        <v>50314</v>
      </c>
      <c r="D50" s="28">
        <f>IF('Final Schedule'!C50="","",'Final Schedule'!C50)</f>
        <v>50406</v>
      </c>
      <c r="E50" s="29">
        <f t="shared" si="1"/>
        <v>92</v>
      </c>
      <c r="F50" s="23">
        <f t="shared" si="2"/>
        <v>0.2520547945</v>
      </c>
      <c r="G50" s="24">
        <f>Inputs!$J$2*Inputs!$E$3*F50</f>
        <v>182739.726</v>
      </c>
      <c r="H50" s="30">
        <f>IF(D50=Inputs!$D$3,Inputs!$J$2,0)</f>
        <v>0</v>
      </c>
    </row>
    <row r="51">
      <c r="B51" s="27">
        <f>'Final Schedule'!B51</f>
        <v>49</v>
      </c>
      <c r="C51" s="28">
        <f t="shared" si="3"/>
        <v>50406</v>
      </c>
      <c r="D51" s="28">
        <f>IF('Final Schedule'!C51="","",'Final Schedule'!C51)</f>
        <v>50496</v>
      </c>
      <c r="E51" s="29">
        <f t="shared" si="1"/>
        <v>90</v>
      </c>
      <c r="F51" s="23">
        <f t="shared" si="2"/>
        <v>0.2465753425</v>
      </c>
      <c r="G51" s="24">
        <f>Inputs!$J$2*Inputs!$E$3*F51</f>
        <v>178767.1233</v>
      </c>
      <c r="H51" s="30">
        <f>IF(D51=Inputs!$D$3,Inputs!$J$2,0)</f>
        <v>0</v>
      </c>
    </row>
    <row r="52">
      <c r="B52" s="27">
        <f>'Final Schedule'!B52</f>
        <v>50</v>
      </c>
      <c r="C52" s="28">
        <f t="shared" si="3"/>
        <v>50496</v>
      </c>
      <c r="D52" s="28">
        <f>IF('Final Schedule'!C52="","",'Final Schedule'!C52)</f>
        <v>50587</v>
      </c>
      <c r="E52" s="29">
        <f t="shared" si="1"/>
        <v>91</v>
      </c>
      <c r="F52" s="23">
        <f t="shared" si="2"/>
        <v>0.2493150685</v>
      </c>
      <c r="G52" s="24">
        <f>Inputs!$J$2*Inputs!$E$3*F52</f>
        <v>180753.4247</v>
      </c>
      <c r="H52" s="30">
        <f>IF(D52=Inputs!$D$3,Inputs!$J$2,0)</f>
        <v>0</v>
      </c>
    </row>
    <row r="53">
      <c r="B53" s="27">
        <f>'Final Schedule'!B53</f>
        <v>51</v>
      </c>
      <c r="C53" s="28">
        <f t="shared" si="3"/>
        <v>50587</v>
      </c>
      <c r="D53" s="28">
        <f>IF('Final Schedule'!C53="","",'Final Schedule'!C53)</f>
        <v>50679</v>
      </c>
      <c r="E53" s="29">
        <f t="shared" si="1"/>
        <v>92</v>
      </c>
      <c r="F53" s="23">
        <f t="shared" si="2"/>
        <v>0.2520547945</v>
      </c>
      <c r="G53" s="24">
        <f>Inputs!$J$2*Inputs!$E$3*F53</f>
        <v>182739.726</v>
      </c>
      <c r="H53" s="30">
        <f>IF(D53=Inputs!$D$3,Inputs!$J$2,0)</f>
        <v>0</v>
      </c>
    </row>
    <row r="54">
      <c r="B54" s="27">
        <f>'Final Schedule'!B54</f>
        <v>52</v>
      </c>
      <c r="C54" s="28">
        <f t="shared" si="3"/>
        <v>50679</v>
      </c>
      <c r="D54" s="28">
        <f>IF('Final Schedule'!C54="","",'Final Schedule'!C54)</f>
        <v>50771</v>
      </c>
      <c r="E54" s="29">
        <f t="shared" si="1"/>
        <v>92</v>
      </c>
      <c r="F54" s="23">
        <f t="shared" si="2"/>
        <v>0.2520547945</v>
      </c>
      <c r="G54" s="24">
        <f>Inputs!$J$2*Inputs!$E$3*F54</f>
        <v>182739.726</v>
      </c>
      <c r="H54" s="30">
        <f>IF(D54=Inputs!$D$3,Inputs!$J$2,0)</f>
        <v>0</v>
      </c>
    </row>
    <row r="55">
      <c r="B55" s="27">
        <f>'Final Schedule'!B55</f>
        <v>53</v>
      </c>
      <c r="C55" s="28">
        <f t="shared" si="3"/>
        <v>50771</v>
      </c>
      <c r="D55" s="28">
        <f>IF('Final Schedule'!C55="","",'Final Schedule'!C55)</f>
        <v>50861</v>
      </c>
      <c r="E55" s="29">
        <f t="shared" si="1"/>
        <v>90</v>
      </c>
      <c r="F55" s="23">
        <f t="shared" si="2"/>
        <v>0.2465753425</v>
      </c>
      <c r="G55" s="24">
        <f>Inputs!$J$2*Inputs!$E$3*F55</f>
        <v>178767.1233</v>
      </c>
      <c r="H55" s="30">
        <f>IF(D55=Inputs!$D$3,Inputs!$J$2,0)</f>
        <v>0</v>
      </c>
    </row>
    <row r="56">
      <c r="B56" s="27">
        <f>'Final Schedule'!B56</f>
        <v>54</v>
      </c>
      <c r="C56" s="28">
        <f t="shared" si="3"/>
        <v>50861</v>
      </c>
      <c r="D56" s="28">
        <f>IF('Final Schedule'!C56="","",'Final Schedule'!C56)</f>
        <v>50952</v>
      </c>
      <c r="E56" s="29">
        <f t="shared" si="1"/>
        <v>91</v>
      </c>
      <c r="F56" s="23">
        <f t="shared" si="2"/>
        <v>0.2493150685</v>
      </c>
      <c r="G56" s="24">
        <f>Inputs!$J$2*Inputs!$E$3*F56</f>
        <v>180753.4247</v>
      </c>
      <c r="H56" s="30">
        <f>IF(D56=Inputs!$D$3,Inputs!$J$2,0)</f>
        <v>0</v>
      </c>
    </row>
    <row r="57">
      <c r="B57" s="27">
        <f>'Final Schedule'!B57</f>
        <v>55</v>
      </c>
      <c r="C57" s="28">
        <f t="shared" si="3"/>
        <v>50952</v>
      </c>
      <c r="D57" s="28">
        <f>IF('Final Schedule'!C57="","",'Final Schedule'!C57)</f>
        <v>51044</v>
      </c>
      <c r="E57" s="29">
        <f t="shared" si="1"/>
        <v>92</v>
      </c>
      <c r="F57" s="23">
        <f t="shared" si="2"/>
        <v>0.2520547945</v>
      </c>
      <c r="G57" s="24">
        <f>Inputs!$J$2*Inputs!$E$3*F57</f>
        <v>182739.726</v>
      </c>
      <c r="H57" s="30">
        <f>IF(D57=Inputs!$D$3,Inputs!$J$2,0)</f>
        <v>0</v>
      </c>
    </row>
    <row r="58">
      <c r="B58" s="27">
        <f>'Final Schedule'!B58</f>
        <v>56</v>
      </c>
      <c r="C58" s="28">
        <f t="shared" si="3"/>
        <v>51044</v>
      </c>
      <c r="D58" s="28">
        <f>IF('Final Schedule'!C58="","",'Final Schedule'!C58)</f>
        <v>51136</v>
      </c>
      <c r="E58" s="29">
        <f t="shared" si="1"/>
        <v>92</v>
      </c>
      <c r="F58" s="23">
        <f t="shared" si="2"/>
        <v>0.2520547945</v>
      </c>
      <c r="G58" s="24">
        <f>Inputs!$J$2*Inputs!$E$3*F58</f>
        <v>182739.726</v>
      </c>
      <c r="H58" s="30">
        <f>IF(D58=Inputs!$D$3,Inputs!$J$2,0)</f>
        <v>0</v>
      </c>
    </row>
    <row r="59">
      <c r="B59" s="27">
        <f>'Final Schedule'!B59</f>
        <v>57</v>
      </c>
      <c r="C59" s="28">
        <f t="shared" si="3"/>
        <v>51136</v>
      </c>
      <c r="D59" s="28">
        <f>IF('Final Schedule'!C59="","",'Final Schedule'!C59)</f>
        <v>51227</v>
      </c>
      <c r="E59" s="29">
        <f t="shared" si="1"/>
        <v>91</v>
      </c>
      <c r="F59" s="23">
        <f t="shared" si="2"/>
        <v>0.2493150685</v>
      </c>
      <c r="G59" s="24">
        <f>Inputs!$J$2*Inputs!$E$3*F59</f>
        <v>180753.4247</v>
      </c>
      <c r="H59" s="30">
        <f>IF(D59=Inputs!$D$3,Inputs!$J$2,0)</f>
        <v>0</v>
      </c>
    </row>
    <row r="60">
      <c r="B60" s="27">
        <f>'Final Schedule'!B60</f>
        <v>58</v>
      </c>
      <c r="C60" s="28">
        <f t="shared" si="3"/>
        <v>51227</v>
      </c>
      <c r="D60" s="28">
        <f>IF('Final Schedule'!C60="","",'Final Schedule'!C60)</f>
        <v>51318</v>
      </c>
      <c r="E60" s="29">
        <f t="shared" si="1"/>
        <v>91</v>
      </c>
      <c r="F60" s="23">
        <f t="shared" si="2"/>
        <v>0.2493150685</v>
      </c>
      <c r="G60" s="24">
        <f>Inputs!$J$2*Inputs!$E$3*F60</f>
        <v>180753.4247</v>
      </c>
      <c r="H60" s="30">
        <f>IF(D60=Inputs!$D$3,Inputs!$J$2,0)</f>
        <v>0</v>
      </c>
    </row>
    <row r="61">
      <c r="B61" s="27">
        <f>'Final Schedule'!B61</f>
        <v>59</v>
      </c>
      <c r="C61" s="28">
        <f t="shared" si="3"/>
        <v>51318</v>
      </c>
      <c r="D61" s="28">
        <f>IF('Final Schedule'!C61="","",'Final Schedule'!C61)</f>
        <v>51410</v>
      </c>
      <c r="E61" s="29">
        <f t="shared" si="1"/>
        <v>92</v>
      </c>
      <c r="F61" s="23">
        <f t="shared" si="2"/>
        <v>0.2520547945</v>
      </c>
      <c r="G61" s="24">
        <f>Inputs!$J$2*Inputs!$E$3*F61</f>
        <v>182739.726</v>
      </c>
      <c r="H61" s="30">
        <f>IF(D61=Inputs!$D$3,Inputs!$J$2,0)</f>
        <v>0</v>
      </c>
    </row>
    <row r="62">
      <c r="B62" s="27">
        <f>'Final Schedule'!B62</f>
        <v>60</v>
      </c>
      <c r="C62" s="28">
        <f t="shared" si="3"/>
        <v>51410</v>
      </c>
      <c r="D62" s="28">
        <f>IF('Final Schedule'!C62="","",'Final Schedule'!C62)</f>
        <v>51502</v>
      </c>
      <c r="E62" s="29">
        <f t="shared" si="1"/>
        <v>92</v>
      </c>
      <c r="F62" s="23">
        <f t="shared" si="2"/>
        <v>0.2520547945</v>
      </c>
      <c r="G62" s="24">
        <f>Inputs!$J$2*Inputs!$E$3*F62</f>
        <v>182739.726</v>
      </c>
      <c r="H62" s="30">
        <f>IF(D62=Inputs!$D$3,Inputs!$J$2,0)</f>
        <v>0</v>
      </c>
    </row>
    <row r="63">
      <c r="B63" s="27">
        <f>'Final Schedule'!B63</f>
        <v>61</v>
      </c>
      <c r="C63" s="28">
        <f t="shared" si="3"/>
        <v>51502</v>
      </c>
      <c r="D63" s="28">
        <f>IF('Final Schedule'!C63="","",'Final Schedule'!C63)</f>
        <v>51592</v>
      </c>
      <c r="E63" s="29">
        <f t="shared" si="1"/>
        <v>90</v>
      </c>
      <c r="F63" s="23">
        <f t="shared" si="2"/>
        <v>0.2465753425</v>
      </c>
      <c r="G63" s="24">
        <f>Inputs!$J$2*Inputs!$E$3*F63</f>
        <v>178767.1233</v>
      </c>
      <c r="H63" s="30">
        <f>IF(D63=Inputs!$D$3,Inputs!$J$2,0)</f>
        <v>0</v>
      </c>
    </row>
    <row r="64">
      <c r="B64" s="27">
        <f>'Final Schedule'!B64</f>
        <v>62</v>
      </c>
      <c r="C64" s="28">
        <f t="shared" si="3"/>
        <v>51592</v>
      </c>
      <c r="D64" s="28">
        <f>IF('Final Schedule'!C64="","",'Final Schedule'!C64)</f>
        <v>51683</v>
      </c>
      <c r="E64" s="29">
        <f t="shared" si="1"/>
        <v>91</v>
      </c>
      <c r="F64" s="23">
        <f t="shared" si="2"/>
        <v>0.2493150685</v>
      </c>
      <c r="G64" s="24">
        <f>Inputs!$J$2*Inputs!$E$3*F64</f>
        <v>180753.4247</v>
      </c>
      <c r="H64" s="30">
        <f>IF(D64=Inputs!$D$3,Inputs!$J$2,0)</f>
        <v>0</v>
      </c>
    </row>
    <row r="65">
      <c r="B65" s="27">
        <f>'Final Schedule'!B65</f>
        <v>63</v>
      </c>
      <c r="C65" s="28">
        <f t="shared" si="3"/>
        <v>51683</v>
      </c>
      <c r="D65" s="28">
        <f>IF('Final Schedule'!C65="","",'Final Schedule'!C65)</f>
        <v>51775</v>
      </c>
      <c r="E65" s="29">
        <f t="shared" si="1"/>
        <v>92</v>
      </c>
      <c r="F65" s="23">
        <f t="shared" si="2"/>
        <v>0.2520547945</v>
      </c>
      <c r="G65" s="24">
        <f>Inputs!$J$2*Inputs!$E$3*F65</f>
        <v>182739.726</v>
      </c>
      <c r="H65" s="30">
        <f>IF(D65=Inputs!$D$3,Inputs!$J$2,0)</f>
        <v>0</v>
      </c>
    </row>
    <row r="66">
      <c r="B66" s="27">
        <f>'Final Schedule'!B66</f>
        <v>64</v>
      </c>
      <c r="C66" s="28">
        <f t="shared" si="3"/>
        <v>51775</v>
      </c>
      <c r="D66" s="28">
        <f>IF('Final Schedule'!C66="","",'Final Schedule'!C66)</f>
        <v>51867</v>
      </c>
      <c r="E66" s="29">
        <f t="shared" si="1"/>
        <v>92</v>
      </c>
      <c r="F66" s="23">
        <f t="shared" si="2"/>
        <v>0.2520547945</v>
      </c>
      <c r="G66" s="24">
        <f>Inputs!$J$2*Inputs!$E$3*F66</f>
        <v>182739.726</v>
      </c>
      <c r="H66" s="30">
        <f>IF(D66=Inputs!$D$3,Inputs!$J$2,0)</f>
        <v>0</v>
      </c>
    </row>
    <row r="67">
      <c r="B67" s="27">
        <f>'Final Schedule'!B67</f>
        <v>65</v>
      </c>
      <c r="C67" s="28">
        <f t="shared" si="3"/>
        <v>51867</v>
      </c>
      <c r="D67" s="28">
        <f>IF('Final Schedule'!C67="","",'Final Schedule'!C67)</f>
        <v>51957</v>
      </c>
      <c r="E67" s="29">
        <f t="shared" si="1"/>
        <v>90</v>
      </c>
      <c r="F67" s="23">
        <f t="shared" si="2"/>
        <v>0.2465753425</v>
      </c>
      <c r="G67" s="24">
        <f>Inputs!$J$2*Inputs!$E$3*F67</f>
        <v>178767.1233</v>
      </c>
      <c r="H67" s="30">
        <f>IF(D67=Inputs!$D$3,Inputs!$J$2,0)</f>
        <v>0</v>
      </c>
    </row>
    <row r="68">
      <c r="B68" s="27">
        <f>'Final Schedule'!B68</f>
        <v>66</v>
      </c>
      <c r="C68" s="28">
        <f t="shared" si="3"/>
        <v>51957</v>
      </c>
      <c r="D68" s="28">
        <f>IF('Final Schedule'!C68="","",'Final Schedule'!C68)</f>
        <v>52048</v>
      </c>
      <c r="E68" s="29">
        <f t="shared" si="1"/>
        <v>91</v>
      </c>
      <c r="F68" s="23">
        <f t="shared" si="2"/>
        <v>0.2493150685</v>
      </c>
      <c r="G68" s="24">
        <f>Inputs!$J$2*Inputs!$E$3*F68</f>
        <v>180753.4247</v>
      </c>
      <c r="H68" s="30">
        <f>IF(D68=Inputs!$D$3,Inputs!$J$2,0)</f>
        <v>0</v>
      </c>
    </row>
    <row r="69">
      <c r="B69" s="27">
        <f>'Final Schedule'!B69</f>
        <v>67</v>
      </c>
      <c r="C69" s="28">
        <f t="shared" si="3"/>
        <v>52048</v>
      </c>
      <c r="D69" s="28">
        <f>IF('Final Schedule'!C69="","",'Final Schedule'!C69)</f>
        <v>52140</v>
      </c>
      <c r="E69" s="29">
        <f t="shared" si="1"/>
        <v>92</v>
      </c>
      <c r="F69" s="23">
        <f t="shared" si="2"/>
        <v>0.2520547945</v>
      </c>
      <c r="G69" s="24">
        <f>Inputs!$J$2*Inputs!$E$3*F69</f>
        <v>182739.726</v>
      </c>
      <c r="H69" s="30">
        <f>IF(D69=Inputs!$D$3,Inputs!$J$2,0)</f>
        <v>0</v>
      </c>
    </row>
    <row r="70">
      <c r="B70" s="27">
        <f>'Final Schedule'!B70</f>
        <v>68</v>
      </c>
      <c r="C70" s="28">
        <f t="shared" si="3"/>
        <v>52140</v>
      </c>
      <c r="D70" s="28">
        <f>IF('Final Schedule'!C70="","",'Final Schedule'!C70)</f>
        <v>52232</v>
      </c>
      <c r="E70" s="29">
        <f t="shared" si="1"/>
        <v>92</v>
      </c>
      <c r="F70" s="23">
        <f t="shared" si="2"/>
        <v>0.2520547945</v>
      </c>
      <c r="G70" s="24">
        <f>Inputs!$J$2*Inputs!$E$3*F70</f>
        <v>182739.726</v>
      </c>
      <c r="H70" s="30">
        <f>IF(D70=Inputs!$D$3,Inputs!$J$2,0)</f>
        <v>0</v>
      </c>
    </row>
    <row r="71">
      <c r="B71" s="27">
        <f>'Final Schedule'!B71</f>
        <v>69</v>
      </c>
      <c r="C71" s="28">
        <f t="shared" si="3"/>
        <v>52232</v>
      </c>
      <c r="D71" s="28">
        <f>IF('Final Schedule'!C71="","",'Final Schedule'!C71)</f>
        <v>52322</v>
      </c>
      <c r="E71" s="29">
        <f t="shared" si="1"/>
        <v>90</v>
      </c>
      <c r="F71" s="23">
        <f t="shared" si="2"/>
        <v>0.2465753425</v>
      </c>
      <c r="G71" s="24">
        <f>Inputs!$J$2*Inputs!$E$3*F71</f>
        <v>178767.1233</v>
      </c>
      <c r="H71" s="30">
        <f>IF(D71=Inputs!$D$3,Inputs!$J$2,0)</f>
        <v>0</v>
      </c>
    </row>
    <row r="72">
      <c r="B72" s="27">
        <f>'Final Schedule'!B72</f>
        <v>70</v>
      </c>
      <c r="C72" s="28">
        <f t="shared" si="3"/>
        <v>52322</v>
      </c>
      <c r="D72" s="28">
        <f>IF('Final Schedule'!C72="","",'Final Schedule'!C72)</f>
        <v>52413</v>
      </c>
      <c r="E72" s="29">
        <f t="shared" si="1"/>
        <v>91</v>
      </c>
      <c r="F72" s="23">
        <f t="shared" si="2"/>
        <v>0.2493150685</v>
      </c>
      <c r="G72" s="24">
        <f>Inputs!$J$2*Inputs!$E$3*F72</f>
        <v>180753.4247</v>
      </c>
      <c r="H72" s="30">
        <f>IF(D72=Inputs!$D$3,Inputs!$J$2,0)</f>
        <v>0</v>
      </c>
    </row>
    <row r="73">
      <c r="B73" s="27">
        <f>'Final Schedule'!B73</f>
        <v>71</v>
      </c>
      <c r="C73" s="28">
        <f t="shared" si="3"/>
        <v>52413</v>
      </c>
      <c r="D73" s="28">
        <f>IF('Final Schedule'!C73="","",'Final Schedule'!C73)</f>
        <v>52505</v>
      </c>
      <c r="E73" s="29">
        <f t="shared" si="1"/>
        <v>92</v>
      </c>
      <c r="F73" s="23">
        <f t="shared" si="2"/>
        <v>0.2520547945</v>
      </c>
      <c r="G73" s="24">
        <f>Inputs!$J$2*Inputs!$E$3*F73</f>
        <v>182739.726</v>
      </c>
      <c r="H73" s="30">
        <f>IF(D73=Inputs!$D$3,Inputs!$J$2,0)</f>
        <v>0</v>
      </c>
    </row>
    <row r="74">
      <c r="B74" s="27">
        <f>'Final Schedule'!B74</f>
        <v>72</v>
      </c>
      <c r="C74" s="28">
        <f t="shared" si="3"/>
        <v>52505</v>
      </c>
      <c r="D74" s="28">
        <f>IF('Final Schedule'!C74="","",'Final Schedule'!C74)</f>
        <v>52597</v>
      </c>
      <c r="E74" s="29">
        <f t="shared" si="1"/>
        <v>92</v>
      </c>
      <c r="F74" s="23">
        <f t="shared" si="2"/>
        <v>0.2520547945</v>
      </c>
      <c r="G74" s="24">
        <f>Inputs!$J$2*Inputs!$E$3*F74</f>
        <v>182739.726</v>
      </c>
      <c r="H74" s="30">
        <f>IF(D74=Inputs!$D$3,Inputs!$J$2,0)</f>
        <v>0</v>
      </c>
    </row>
    <row r="75">
      <c r="B75" s="27">
        <f>'Final Schedule'!B75</f>
        <v>73</v>
      </c>
      <c r="C75" s="28">
        <f t="shared" si="3"/>
        <v>52597</v>
      </c>
      <c r="D75" s="28">
        <f>IF('Final Schedule'!C75="","",'Final Schedule'!C75)</f>
        <v>52688</v>
      </c>
      <c r="E75" s="29">
        <f t="shared" si="1"/>
        <v>91</v>
      </c>
      <c r="F75" s="23">
        <f t="shared" si="2"/>
        <v>0.2493150685</v>
      </c>
      <c r="G75" s="24">
        <f>Inputs!$J$2*Inputs!$E$3*F75</f>
        <v>180753.4247</v>
      </c>
      <c r="H75" s="30">
        <f>IF(D75=Inputs!$D$3,Inputs!$J$2,0)</f>
        <v>0</v>
      </c>
    </row>
    <row r="76">
      <c r="B76" s="27">
        <f>'Final Schedule'!B76</f>
        <v>74</v>
      </c>
      <c r="C76" s="28">
        <f t="shared" si="3"/>
        <v>52688</v>
      </c>
      <c r="D76" s="28">
        <f>IF('Final Schedule'!C76="","",'Final Schedule'!C76)</f>
        <v>52779</v>
      </c>
      <c r="E76" s="29">
        <f t="shared" si="1"/>
        <v>91</v>
      </c>
      <c r="F76" s="23">
        <f t="shared" si="2"/>
        <v>0.2493150685</v>
      </c>
      <c r="G76" s="24">
        <f>Inputs!$J$2*Inputs!$E$3*F76</f>
        <v>180753.4247</v>
      </c>
      <c r="H76" s="30">
        <f>IF(D76=Inputs!$D$3,Inputs!$J$2,0)</f>
        <v>0</v>
      </c>
    </row>
    <row r="77">
      <c r="B77" s="27">
        <f>'Final Schedule'!B77</f>
        <v>75</v>
      </c>
      <c r="C77" s="28">
        <f t="shared" si="3"/>
        <v>52779</v>
      </c>
      <c r="D77" s="28">
        <f>IF('Final Schedule'!C77="","",'Final Schedule'!C77)</f>
        <v>52871</v>
      </c>
      <c r="E77" s="29">
        <f t="shared" si="1"/>
        <v>92</v>
      </c>
      <c r="F77" s="23">
        <f t="shared" si="2"/>
        <v>0.2520547945</v>
      </c>
      <c r="G77" s="24">
        <f>Inputs!$J$2*Inputs!$E$3*F77</f>
        <v>182739.726</v>
      </c>
      <c r="H77" s="30">
        <f>IF(D77=Inputs!$D$3,Inputs!$J$2,0)</f>
        <v>0</v>
      </c>
    </row>
    <row r="78">
      <c r="B78" s="27">
        <f>'Final Schedule'!B78</f>
        <v>76</v>
      </c>
      <c r="C78" s="28">
        <f t="shared" si="3"/>
        <v>52871</v>
      </c>
      <c r="D78" s="28">
        <f>IF('Final Schedule'!C78="","",'Final Schedule'!C78)</f>
        <v>52963</v>
      </c>
      <c r="E78" s="29">
        <f t="shared" si="1"/>
        <v>92</v>
      </c>
      <c r="F78" s="23">
        <f t="shared" si="2"/>
        <v>0.2520547945</v>
      </c>
      <c r="G78" s="24">
        <f>Inputs!$J$2*Inputs!$E$3*F78</f>
        <v>182739.726</v>
      </c>
      <c r="H78" s="30">
        <f>IF(D78=Inputs!$D$3,Inputs!$J$2,0)</f>
        <v>10000000</v>
      </c>
    </row>
    <row r="79">
      <c r="B79" s="27" t="str">
        <f>'Final Schedule'!B79</f>
        <v/>
      </c>
      <c r="C79" s="29" t="str">
        <f t="shared" si="3"/>
        <v/>
      </c>
      <c r="D79" s="29" t="str">
        <f>IF('Final Schedule'!C79="","",'Final Schedule'!C79)</f>
        <v/>
      </c>
      <c r="E79" s="29">
        <f t="shared" si="1"/>
        <v>0</v>
      </c>
      <c r="F79" s="23">
        <f t="shared" si="2"/>
        <v>0</v>
      </c>
      <c r="G79" s="24">
        <f>Inputs!$J$2*Inputs!$E$3*F79</f>
        <v>0</v>
      </c>
      <c r="H79" s="30">
        <f>IF(D79=Inputs!$D$3,Inputs!$J$2,0)</f>
        <v>0</v>
      </c>
    </row>
    <row r="80">
      <c r="B80" s="27" t="str">
        <f>'Final Schedule'!B80</f>
        <v/>
      </c>
      <c r="C80" s="29" t="str">
        <f t="shared" si="3"/>
        <v/>
      </c>
      <c r="D80" s="29" t="str">
        <f>IF('Final Schedule'!C80="","",'Final Schedule'!C80)</f>
        <v/>
      </c>
      <c r="E80" s="29">
        <f t="shared" si="1"/>
        <v>0</v>
      </c>
      <c r="F80" s="23">
        <f t="shared" si="2"/>
        <v>0</v>
      </c>
      <c r="G80" s="24">
        <f>Inputs!$J$2*Inputs!$E$3*F80</f>
        <v>0</v>
      </c>
      <c r="H80" s="30">
        <f>IF(D80=Inputs!$D$3,Inputs!$J$2,0)</f>
        <v>0</v>
      </c>
    </row>
    <row r="81">
      <c r="B81" s="27" t="str">
        <f>'Final Schedule'!B81</f>
        <v/>
      </c>
      <c r="C81" s="29" t="str">
        <f t="shared" si="3"/>
        <v/>
      </c>
      <c r="D81" s="29" t="str">
        <f>IF('Final Schedule'!C81="","",'Final Schedule'!C81)</f>
        <v/>
      </c>
      <c r="E81" s="29">
        <f t="shared" si="1"/>
        <v>0</v>
      </c>
      <c r="F81" s="23">
        <f t="shared" si="2"/>
        <v>0</v>
      </c>
      <c r="G81" s="24">
        <f>Inputs!$J$2*Inputs!$E$3*F81</f>
        <v>0</v>
      </c>
      <c r="H81" s="30">
        <f>IF(D81=Inputs!$D$3,Inputs!$J$2,0)</f>
        <v>0</v>
      </c>
    </row>
    <row r="82">
      <c r="B82" s="27" t="str">
        <f>'Final Schedule'!B82</f>
        <v/>
      </c>
      <c r="C82" s="29" t="str">
        <f t="shared" si="3"/>
        <v/>
      </c>
      <c r="D82" s="29" t="str">
        <f>IF('Final Schedule'!C82="","",'Final Schedule'!C82)</f>
        <v/>
      </c>
      <c r="E82" s="29">
        <f t="shared" si="1"/>
        <v>0</v>
      </c>
      <c r="F82" s="23">
        <f t="shared" si="2"/>
        <v>0</v>
      </c>
      <c r="G82" s="24">
        <f>Inputs!$J$2*Inputs!$E$3*F82</f>
        <v>0</v>
      </c>
      <c r="H82" s="30">
        <f>IF(D82=Inputs!$D$3,Inputs!$J$2,0)</f>
        <v>0</v>
      </c>
    </row>
    <row r="83">
      <c r="B83" s="27" t="str">
        <f>'Final Schedule'!B83</f>
        <v/>
      </c>
      <c r="C83" s="29" t="str">
        <f t="shared" si="3"/>
        <v/>
      </c>
      <c r="D83" s="29" t="str">
        <f>IF('Final Schedule'!C83="","",'Final Schedule'!C83)</f>
        <v/>
      </c>
      <c r="E83" s="29">
        <f t="shared" si="1"/>
        <v>0</v>
      </c>
      <c r="F83" s="23">
        <f t="shared" si="2"/>
        <v>0</v>
      </c>
      <c r="G83" s="24">
        <f>Inputs!$J$2*Inputs!$E$3*F83</f>
        <v>0</v>
      </c>
      <c r="H83" s="30">
        <f>IF(D83=Inputs!$D$3,Inputs!$J$2,0)</f>
        <v>0</v>
      </c>
    </row>
    <row r="84">
      <c r="B84" s="27" t="str">
        <f>'Final Schedule'!B84</f>
        <v/>
      </c>
      <c r="C84" s="29" t="str">
        <f t="shared" si="3"/>
        <v/>
      </c>
      <c r="D84" s="29" t="str">
        <f>IF('Final Schedule'!C84="","",'Final Schedule'!C84)</f>
        <v/>
      </c>
      <c r="E84" s="29">
        <f t="shared" si="1"/>
        <v>0</v>
      </c>
      <c r="F84" s="23">
        <f t="shared" si="2"/>
        <v>0</v>
      </c>
      <c r="G84" s="24">
        <f>Inputs!$J$2*Inputs!$E$3*F84</f>
        <v>0</v>
      </c>
      <c r="H84" s="30">
        <f>IF(D84=Inputs!$D$3,Inputs!$J$2,0)</f>
        <v>0</v>
      </c>
    </row>
    <row r="85">
      <c r="B85" s="27" t="str">
        <f>'Final Schedule'!B85</f>
        <v/>
      </c>
      <c r="C85" s="29" t="str">
        <f t="shared" si="3"/>
        <v/>
      </c>
      <c r="D85" s="29" t="str">
        <f>IF('Final Schedule'!C85="","",'Final Schedule'!C85)</f>
        <v/>
      </c>
      <c r="E85" s="29">
        <f t="shared" si="1"/>
        <v>0</v>
      </c>
      <c r="F85" s="23">
        <f t="shared" si="2"/>
        <v>0</v>
      </c>
      <c r="G85" s="24">
        <f>Inputs!$J$2*Inputs!$E$3*F85</f>
        <v>0</v>
      </c>
      <c r="H85" s="30">
        <f>IF(D85=Inputs!$D$3,Inputs!$J$2,0)</f>
        <v>0</v>
      </c>
    </row>
    <row r="86">
      <c r="B86" s="27" t="str">
        <f>'Final Schedule'!B86</f>
        <v/>
      </c>
      <c r="C86" s="29" t="str">
        <f t="shared" si="3"/>
        <v/>
      </c>
      <c r="D86" s="29" t="str">
        <f>IF('Final Schedule'!C86="","",'Final Schedule'!C86)</f>
        <v/>
      </c>
      <c r="E86" s="29">
        <f t="shared" si="1"/>
        <v>0</v>
      </c>
      <c r="F86" s="23">
        <f t="shared" si="2"/>
        <v>0</v>
      </c>
      <c r="G86" s="24">
        <f>Inputs!$J$2*Inputs!$E$3*F86</f>
        <v>0</v>
      </c>
      <c r="H86" s="30">
        <f>IF(D86=Inputs!$D$3,Inputs!$J$2,0)</f>
        <v>0</v>
      </c>
    </row>
    <row r="87">
      <c r="B87" s="27" t="str">
        <f>'Final Schedule'!B87</f>
        <v/>
      </c>
      <c r="C87" s="29" t="str">
        <f t="shared" si="3"/>
        <v/>
      </c>
      <c r="D87" s="29" t="str">
        <f>IF('Final Schedule'!C87="","",'Final Schedule'!C87)</f>
        <v/>
      </c>
      <c r="E87" s="29">
        <f t="shared" si="1"/>
        <v>0</v>
      </c>
      <c r="F87" s="23">
        <f t="shared" si="2"/>
        <v>0</v>
      </c>
      <c r="G87" s="24">
        <f>Inputs!$J$2*Inputs!$E$3*F87</f>
        <v>0</v>
      </c>
      <c r="H87" s="30">
        <f>IF(D87=Inputs!$D$3,Inputs!$J$2,0)</f>
        <v>0</v>
      </c>
    </row>
    <row r="88">
      <c r="B88" s="27" t="str">
        <f>'Final Schedule'!B88</f>
        <v/>
      </c>
      <c r="C88" s="29" t="str">
        <f t="shared" si="3"/>
        <v/>
      </c>
      <c r="D88" s="29" t="str">
        <f>IF('Final Schedule'!C88="","",'Final Schedule'!C88)</f>
        <v/>
      </c>
      <c r="E88" s="29">
        <f t="shared" si="1"/>
        <v>0</v>
      </c>
      <c r="F88" s="23">
        <f t="shared" si="2"/>
        <v>0</v>
      </c>
      <c r="G88" s="24">
        <f>Inputs!$J$2*Inputs!$E$3*F88</f>
        <v>0</v>
      </c>
      <c r="H88" s="30">
        <f>IF(D88=Inputs!$D$3,Inputs!$J$2,0)</f>
        <v>0</v>
      </c>
    </row>
    <row r="89">
      <c r="B89" s="27" t="str">
        <f>'Final Schedule'!B89</f>
        <v/>
      </c>
      <c r="C89" s="29" t="str">
        <f t="shared" si="3"/>
        <v/>
      </c>
      <c r="D89" s="29" t="str">
        <f>IF('Final Schedule'!C89="","",'Final Schedule'!C89)</f>
        <v/>
      </c>
      <c r="E89" s="29">
        <f t="shared" si="1"/>
        <v>0</v>
      </c>
      <c r="F89" s="23">
        <f t="shared" si="2"/>
        <v>0</v>
      </c>
      <c r="G89" s="24">
        <f>Inputs!$J$2*Inputs!$E$3*F89</f>
        <v>0</v>
      </c>
      <c r="H89" s="30">
        <f>IF(D89=Inputs!$D$3,Inputs!$J$2,0)</f>
        <v>0</v>
      </c>
    </row>
    <row r="90">
      <c r="B90" s="27" t="str">
        <f>'Final Schedule'!B90</f>
        <v/>
      </c>
      <c r="C90" s="29" t="str">
        <f t="shared" si="3"/>
        <v/>
      </c>
      <c r="D90" s="29" t="str">
        <f>IF('Final Schedule'!C90="","",'Final Schedule'!C90)</f>
        <v/>
      </c>
      <c r="E90" s="29">
        <f t="shared" si="1"/>
        <v>0</v>
      </c>
      <c r="F90" s="23">
        <f t="shared" si="2"/>
        <v>0</v>
      </c>
      <c r="G90" s="24">
        <f>Inputs!$J$2*Inputs!$E$3*F90</f>
        <v>0</v>
      </c>
      <c r="H90" s="30">
        <f>IF(D90=Inputs!$D$3,Inputs!$J$2,0)</f>
        <v>0</v>
      </c>
    </row>
    <row r="91">
      <c r="B91" s="27" t="str">
        <f>'Final Schedule'!B91</f>
        <v/>
      </c>
      <c r="C91" s="29" t="str">
        <f t="shared" si="3"/>
        <v/>
      </c>
      <c r="D91" s="29" t="str">
        <f>IF('Final Schedule'!C91="","",'Final Schedule'!C91)</f>
        <v/>
      </c>
      <c r="E91" s="29">
        <f t="shared" si="1"/>
        <v>0</v>
      </c>
      <c r="F91" s="23">
        <f t="shared" si="2"/>
        <v>0</v>
      </c>
      <c r="G91" s="24">
        <f>Inputs!$J$2*Inputs!$E$3*F91</f>
        <v>0</v>
      </c>
      <c r="H91" s="30">
        <f>IF(D91=Inputs!$D$3,Inputs!$J$2,0)</f>
        <v>0</v>
      </c>
    </row>
    <row r="92">
      <c r="B92" s="27" t="str">
        <f>'Final Schedule'!B92</f>
        <v/>
      </c>
      <c r="C92" s="29" t="str">
        <f t="shared" si="3"/>
        <v/>
      </c>
      <c r="D92" s="29" t="str">
        <f>IF('Final Schedule'!C92="","",'Final Schedule'!C92)</f>
        <v/>
      </c>
      <c r="E92" s="29">
        <f t="shared" si="1"/>
        <v>0</v>
      </c>
      <c r="F92" s="23">
        <f t="shared" si="2"/>
        <v>0</v>
      </c>
      <c r="G92" s="24">
        <f>Inputs!$J$2*Inputs!$E$3*F92</f>
        <v>0</v>
      </c>
      <c r="H92" s="30">
        <f>IF(D92=Inputs!$D$3,Inputs!$J$2,0)</f>
        <v>0</v>
      </c>
    </row>
    <row r="93">
      <c r="B93" s="27" t="str">
        <f>'Final Schedule'!B93</f>
        <v/>
      </c>
      <c r="C93" s="29" t="str">
        <f t="shared" si="3"/>
        <v/>
      </c>
      <c r="D93" s="29" t="str">
        <f>IF('Final Schedule'!C93="","",'Final Schedule'!C93)</f>
        <v/>
      </c>
      <c r="E93" s="29">
        <f t="shared" si="1"/>
        <v>0</v>
      </c>
      <c r="F93" s="23">
        <f t="shared" si="2"/>
        <v>0</v>
      </c>
      <c r="G93" s="24">
        <f>Inputs!$J$2*Inputs!$E$3*F93</f>
        <v>0</v>
      </c>
      <c r="H93" s="30">
        <f>IF(D93=Inputs!$D$3,Inputs!$J$2,0)</f>
        <v>0</v>
      </c>
    </row>
    <row r="94">
      <c r="B94" s="27" t="str">
        <f>'Final Schedule'!B94</f>
        <v/>
      </c>
      <c r="C94" s="29" t="str">
        <f t="shared" si="3"/>
        <v/>
      </c>
      <c r="D94" s="29" t="str">
        <f>IF('Final Schedule'!C94="","",'Final Schedule'!C94)</f>
        <v/>
      </c>
      <c r="E94" s="29">
        <f t="shared" si="1"/>
        <v>0</v>
      </c>
      <c r="F94" s="23">
        <f t="shared" si="2"/>
        <v>0</v>
      </c>
      <c r="G94" s="24">
        <f>Inputs!$J$2*Inputs!$E$3*F94</f>
        <v>0</v>
      </c>
      <c r="H94" s="30">
        <f>IF(D94=Inputs!$D$3,Inputs!$J$2,0)</f>
        <v>0</v>
      </c>
    </row>
    <row r="95">
      <c r="B95" s="27" t="str">
        <f>'Final Schedule'!B95</f>
        <v/>
      </c>
      <c r="C95" s="29" t="str">
        <f t="shared" si="3"/>
        <v/>
      </c>
      <c r="D95" s="29" t="str">
        <f>IF('Final Schedule'!C95="","",'Final Schedule'!C95)</f>
        <v/>
      </c>
      <c r="E95" s="29">
        <f t="shared" si="1"/>
        <v>0</v>
      </c>
      <c r="F95" s="23">
        <f t="shared" si="2"/>
        <v>0</v>
      </c>
      <c r="G95" s="24">
        <f>Inputs!$J$2*Inputs!$E$3*F95</f>
        <v>0</v>
      </c>
      <c r="H95" s="30">
        <f>IF(D95=Inputs!$D$3,Inputs!$J$2,0)</f>
        <v>0</v>
      </c>
    </row>
    <row r="96">
      <c r="B96" s="27" t="str">
        <f>'Final Schedule'!B96</f>
        <v/>
      </c>
      <c r="C96" s="29" t="str">
        <f t="shared" si="3"/>
        <v/>
      </c>
      <c r="D96" s="29" t="str">
        <f>IF('Final Schedule'!C96="","",'Final Schedule'!C96)</f>
        <v/>
      </c>
      <c r="E96" s="29">
        <f t="shared" si="1"/>
        <v>0</v>
      </c>
      <c r="F96" s="23">
        <f t="shared" si="2"/>
        <v>0</v>
      </c>
      <c r="G96" s="24">
        <f>Inputs!$J$2*Inputs!$E$3*F96</f>
        <v>0</v>
      </c>
      <c r="H96" s="30">
        <f>IF(D96=Inputs!$D$3,Inputs!$J$2,0)</f>
        <v>0</v>
      </c>
    </row>
    <row r="97">
      <c r="B97" s="27" t="str">
        <f>'Final Schedule'!B97</f>
        <v/>
      </c>
      <c r="C97" s="29" t="str">
        <f t="shared" si="3"/>
        <v/>
      </c>
      <c r="D97" s="29" t="str">
        <f>IF('Final Schedule'!C97="","",'Final Schedule'!C97)</f>
        <v/>
      </c>
      <c r="E97" s="29">
        <f t="shared" si="1"/>
        <v>0</v>
      </c>
      <c r="F97" s="23">
        <f t="shared" si="2"/>
        <v>0</v>
      </c>
      <c r="G97" s="24">
        <f>Inputs!$J$2*Inputs!$E$3*F97</f>
        <v>0</v>
      </c>
      <c r="H97" s="30">
        <f>IF(D97=Inputs!$D$3,Inputs!$J$2,0)</f>
        <v>0</v>
      </c>
    </row>
    <row r="98">
      <c r="B98" s="27" t="str">
        <f>'Final Schedule'!B98</f>
        <v/>
      </c>
      <c r="C98" s="29" t="str">
        <f t="shared" si="3"/>
        <v/>
      </c>
      <c r="D98" s="29" t="str">
        <f>IF('Final Schedule'!C98="","",'Final Schedule'!C98)</f>
        <v/>
      </c>
      <c r="E98" s="29">
        <f t="shared" si="1"/>
        <v>0</v>
      </c>
      <c r="F98" s="23">
        <f t="shared" si="2"/>
        <v>0</v>
      </c>
      <c r="G98" s="24">
        <f>Inputs!$J$2*Inputs!$E$3*F98</f>
        <v>0</v>
      </c>
      <c r="H98" s="30">
        <f>IF(D98=Inputs!$D$3,Inputs!$J$2,0)</f>
        <v>0</v>
      </c>
    </row>
    <row r="99">
      <c r="B99" s="31" t="str">
        <f>'Final Schedule'!B99</f>
        <v/>
      </c>
      <c r="C99" s="32" t="str">
        <f t="shared" si="3"/>
        <v/>
      </c>
      <c r="D99" s="32" t="str">
        <f>IF('Final Schedule'!C99="","",'Final Schedule'!C99)</f>
        <v/>
      </c>
      <c r="E99" s="32">
        <f t="shared" si="1"/>
        <v>0</v>
      </c>
      <c r="F99" s="33">
        <f t="shared" si="2"/>
        <v>0</v>
      </c>
      <c r="G99" s="34">
        <f>Inputs!$J$2*Inputs!$E$3*F99</f>
        <v>0</v>
      </c>
      <c r="H99" s="35">
        <f>IF(D99=Inputs!$D$3,Inputs!$J$2,0)</f>
        <v>0</v>
      </c>
    </row>
    <row r="100">
      <c r="B100" s="29" t="str">
        <f>'Final Schedule'!B100</f>
        <v/>
      </c>
      <c r="F100" s="23"/>
      <c r="G100" s="24"/>
    </row>
    <row r="101">
      <c r="F101" s="23"/>
      <c r="G101" s="24"/>
    </row>
    <row r="102">
      <c r="F102" s="23"/>
      <c r="G102" s="24"/>
    </row>
    <row r="103">
      <c r="F103" s="23"/>
      <c r="G103" s="24"/>
    </row>
    <row r="104">
      <c r="F104" s="23"/>
      <c r="G104" s="24"/>
    </row>
    <row r="105">
      <c r="F105" s="23"/>
      <c r="G105" s="24"/>
    </row>
    <row r="106">
      <c r="F106" s="23"/>
      <c r="G106" s="24"/>
    </row>
    <row r="107">
      <c r="F107" s="23"/>
      <c r="G107" s="24"/>
    </row>
    <row r="108">
      <c r="F108" s="23"/>
      <c r="G108" s="24"/>
    </row>
    <row r="109">
      <c r="F109" s="23"/>
      <c r="G109" s="24"/>
    </row>
    <row r="110">
      <c r="F110" s="23"/>
      <c r="G110" s="24"/>
    </row>
    <row r="111">
      <c r="F111" s="23"/>
      <c r="G111" s="24"/>
    </row>
    <row r="112">
      <c r="F112" s="23"/>
      <c r="G112" s="24"/>
    </row>
    <row r="113">
      <c r="F113" s="23"/>
      <c r="G113" s="24"/>
    </row>
    <row r="114">
      <c r="F114" s="23"/>
      <c r="G114" s="24"/>
    </row>
    <row r="115">
      <c r="F115" s="23"/>
      <c r="G115" s="24"/>
    </row>
    <row r="116">
      <c r="F116" s="23"/>
      <c r="G116" s="24"/>
    </row>
    <row r="117">
      <c r="F117" s="23"/>
      <c r="G117" s="24"/>
    </row>
    <row r="118">
      <c r="F118" s="23"/>
      <c r="G118" s="24"/>
    </row>
    <row r="119">
      <c r="F119" s="23"/>
      <c r="G119" s="24"/>
    </row>
    <row r="120">
      <c r="F120" s="23"/>
      <c r="G120" s="24"/>
    </row>
    <row r="121">
      <c r="F121" s="23"/>
      <c r="G121" s="24"/>
    </row>
    <row r="122">
      <c r="F122" s="23"/>
      <c r="G122" s="24"/>
    </row>
    <row r="123">
      <c r="F123" s="23"/>
      <c r="G123" s="24"/>
    </row>
    <row r="124">
      <c r="F124" s="23"/>
      <c r="G124" s="24"/>
    </row>
    <row r="125">
      <c r="F125" s="23"/>
      <c r="G125" s="24"/>
    </row>
    <row r="126">
      <c r="F126" s="23"/>
      <c r="G126" s="24"/>
    </row>
    <row r="127">
      <c r="F127" s="23"/>
      <c r="G127" s="24"/>
    </row>
    <row r="128">
      <c r="F128" s="23"/>
      <c r="G128" s="24"/>
    </row>
    <row r="129">
      <c r="F129" s="23"/>
      <c r="G129" s="24"/>
    </row>
    <row r="130">
      <c r="F130" s="23"/>
      <c r="G130" s="24"/>
    </row>
    <row r="131">
      <c r="F131" s="23"/>
      <c r="G131" s="24"/>
    </row>
    <row r="132">
      <c r="F132" s="23"/>
      <c r="G132" s="24"/>
    </row>
    <row r="133">
      <c r="F133" s="23"/>
      <c r="G133" s="24"/>
    </row>
    <row r="134">
      <c r="F134" s="23"/>
      <c r="G134" s="24"/>
    </row>
    <row r="135">
      <c r="F135" s="23"/>
      <c r="G135" s="24"/>
    </row>
    <row r="136">
      <c r="F136" s="23"/>
      <c r="G136" s="24"/>
    </row>
    <row r="137">
      <c r="F137" s="23"/>
      <c r="G137" s="24"/>
    </row>
    <row r="138">
      <c r="F138" s="23"/>
      <c r="G138" s="24"/>
    </row>
    <row r="139">
      <c r="F139" s="23"/>
      <c r="G139" s="24"/>
    </row>
    <row r="140">
      <c r="F140" s="23"/>
      <c r="G140" s="24"/>
    </row>
    <row r="141">
      <c r="F141" s="23"/>
      <c r="G141" s="24"/>
    </row>
    <row r="142">
      <c r="F142" s="23"/>
      <c r="G142" s="24"/>
    </row>
    <row r="143">
      <c r="F143" s="23"/>
      <c r="G143" s="24"/>
    </row>
    <row r="144">
      <c r="F144" s="23"/>
      <c r="G144" s="24"/>
    </row>
    <row r="145">
      <c r="F145" s="23"/>
      <c r="G145" s="24"/>
    </row>
    <row r="146">
      <c r="F146" s="23"/>
      <c r="G146" s="24"/>
    </row>
    <row r="147">
      <c r="F147" s="23"/>
      <c r="G147" s="24"/>
    </row>
    <row r="148">
      <c r="F148" s="23"/>
      <c r="G148" s="24"/>
    </row>
    <row r="149">
      <c r="F149" s="23"/>
      <c r="G149" s="24"/>
    </row>
    <row r="150">
      <c r="F150" s="23"/>
      <c r="G150" s="24"/>
    </row>
    <row r="151">
      <c r="F151" s="23"/>
      <c r="G151" s="24"/>
    </row>
    <row r="152">
      <c r="F152" s="23"/>
      <c r="G152" s="24"/>
    </row>
    <row r="153">
      <c r="F153" s="23"/>
      <c r="G153" s="24"/>
    </row>
    <row r="154">
      <c r="F154" s="23"/>
      <c r="G154" s="24"/>
    </row>
    <row r="155">
      <c r="F155" s="23"/>
      <c r="G155" s="24"/>
    </row>
    <row r="156">
      <c r="F156" s="23"/>
      <c r="G156" s="24"/>
    </row>
    <row r="157">
      <c r="F157" s="23"/>
      <c r="G157" s="24"/>
    </row>
    <row r="158">
      <c r="F158" s="23"/>
      <c r="G158" s="24"/>
    </row>
    <row r="159">
      <c r="F159" s="23"/>
      <c r="G159" s="24"/>
    </row>
    <row r="160">
      <c r="F160" s="23"/>
      <c r="G160" s="24"/>
    </row>
    <row r="161">
      <c r="F161" s="23"/>
      <c r="G161" s="24"/>
    </row>
    <row r="162">
      <c r="F162" s="23"/>
      <c r="G162" s="24"/>
    </row>
    <row r="163">
      <c r="F163" s="23"/>
      <c r="G163" s="24"/>
    </row>
    <row r="164">
      <c r="F164" s="23"/>
      <c r="G164" s="24"/>
    </row>
    <row r="165">
      <c r="F165" s="23"/>
      <c r="G165" s="24"/>
    </row>
    <row r="166">
      <c r="F166" s="23"/>
      <c r="G166" s="24"/>
    </row>
    <row r="167">
      <c r="F167" s="23"/>
      <c r="G167" s="24"/>
    </row>
    <row r="168">
      <c r="F168" s="23"/>
      <c r="G168" s="24"/>
    </row>
    <row r="169">
      <c r="F169" s="23"/>
      <c r="G169" s="24"/>
    </row>
    <row r="170">
      <c r="F170" s="23"/>
      <c r="G170" s="24"/>
    </row>
    <row r="171">
      <c r="F171" s="23"/>
      <c r="G171" s="24"/>
    </row>
    <row r="172">
      <c r="F172" s="23"/>
      <c r="G172" s="24"/>
    </row>
    <row r="173">
      <c r="F173" s="23"/>
      <c r="G173" s="24"/>
    </row>
    <row r="174">
      <c r="F174" s="23"/>
      <c r="G174" s="24"/>
    </row>
    <row r="175">
      <c r="F175" s="23"/>
      <c r="G175" s="24"/>
    </row>
    <row r="176">
      <c r="F176" s="23"/>
      <c r="G176" s="24"/>
    </row>
    <row r="177">
      <c r="F177" s="23"/>
      <c r="G177" s="24"/>
    </row>
    <row r="178">
      <c r="F178" s="23"/>
      <c r="G178" s="24"/>
    </row>
    <row r="179">
      <c r="F179" s="23"/>
      <c r="G179" s="24"/>
    </row>
    <row r="180">
      <c r="F180" s="23"/>
      <c r="G180" s="24"/>
    </row>
    <row r="181">
      <c r="F181" s="23"/>
      <c r="G181" s="24"/>
    </row>
    <row r="182">
      <c r="F182" s="23"/>
      <c r="G182" s="24"/>
    </row>
    <row r="183">
      <c r="F183" s="23"/>
      <c r="G183" s="24"/>
    </row>
    <row r="184">
      <c r="F184" s="23"/>
      <c r="G184" s="24"/>
    </row>
    <row r="185">
      <c r="F185" s="23"/>
      <c r="G185" s="24"/>
    </row>
    <row r="186">
      <c r="F186" s="23"/>
      <c r="G186" s="24"/>
    </row>
    <row r="187">
      <c r="F187" s="23"/>
      <c r="G187" s="24"/>
    </row>
    <row r="188">
      <c r="F188" s="23"/>
      <c r="G188" s="24"/>
    </row>
    <row r="189">
      <c r="F189" s="23"/>
      <c r="G189" s="24"/>
    </row>
    <row r="190">
      <c r="F190" s="23"/>
      <c r="G190" s="24"/>
    </row>
    <row r="191">
      <c r="F191" s="23"/>
      <c r="G191" s="24"/>
    </row>
    <row r="192">
      <c r="F192" s="23"/>
      <c r="G192" s="24"/>
    </row>
    <row r="193">
      <c r="F193" s="23"/>
      <c r="G193" s="24"/>
    </row>
    <row r="194">
      <c r="F194" s="23"/>
      <c r="G194" s="24"/>
    </row>
    <row r="195">
      <c r="F195" s="23"/>
      <c r="G195" s="24"/>
    </row>
    <row r="196">
      <c r="F196" s="23"/>
      <c r="G196" s="24"/>
    </row>
    <row r="197">
      <c r="F197" s="23"/>
      <c r="G197" s="24"/>
    </row>
    <row r="198">
      <c r="F198" s="23"/>
      <c r="G198" s="24"/>
    </row>
    <row r="199">
      <c r="F199" s="23"/>
      <c r="G199" s="24"/>
    </row>
    <row r="200">
      <c r="F200" s="23"/>
      <c r="G200" s="24"/>
    </row>
    <row r="201">
      <c r="F201" s="23"/>
      <c r="G201" s="24"/>
    </row>
    <row r="202">
      <c r="F202" s="23"/>
      <c r="G202" s="24"/>
    </row>
    <row r="203">
      <c r="F203" s="23"/>
      <c r="G203" s="24"/>
    </row>
    <row r="204">
      <c r="F204" s="23"/>
      <c r="G204" s="24"/>
    </row>
    <row r="205">
      <c r="F205" s="23"/>
      <c r="G205" s="24"/>
    </row>
    <row r="206">
      <c r="F206" s="23"/>
      <c r="G206" s="24"/>
    </row>
    <row r="207">
      <c r="F207" s="23"/>
      <c r="G207" s="24"/>
    </row>
    <row r="208">
      <c r="F208" s="23"/>
      <c r="G208" s="24"/>
    </row>
    <row r="209">
      <c r="F209" s="23"/>
      <c r="G209" s="24"/>
    </row>
    <row r="210">
      <c r="F210" s="23"/>
      <c r="G210" s="24"/>
    </row>
    <row r="211">
      <c r="F211" s="23"/>
      <c r="G211" s="24"/>
    </row>
    <row r="212">
      <c r="F212" s="23"/>
      <c r="G212" s="24"/>
    </row>
    <row r="213">
      <c r="F213" s="23"/>
      <c r="G213" s="24"/>
    </row>
    <row r="214">
      <c r="F214" s="23"/>
      <c r="G214" s="24"/>
    </row>
    <row r="215">
      <c r="F215" s="23"/>
      <c r="G215" s="24"/>
    </row>
    <row r="216">
      <c r="F216" s="23"/>
      <c r="G216" s="24"/>
    </row>
    <row r="217">
      <c r="F217" s="23"/>
      <c r="G217" s="24"/>
    </row>
    <row r="218">
      <c r="F218" s="23"/>
      <c r="G218" s="24"/>
    </row>
    <row r="219">
      <c r="F219" s="23"/>
      <c r="G219" s="24"/>
    </row>
    <row r="220">
      <c r="F220" s="23"/>
      <c r="G220" s="24"/>
    </row>
    <row r="221">
      <c r="F221" s="23"/>
      <c r="G221" s="24"/>
    </row>
    <row r="222">
      <c r="F222" s="23"/>
      <c r="G222" s="24"/>
    </row>
    <row r="223">
      <c r="F223" s="23"/>
      <c r="G223" s="24"/>
    </row>
    <row r="224">
      <c r="F224" s="23"/>
      <c r="G224" s="24"/>
    </row>
    <row r="225">
      <c r="F225" s="23"/>
      <c r="G225" s="24"/>
    </row>
    <row r="226">
      <c r="F226" s="23"/>
      <c r="G226" s="24"/>
    </row>
    <row r="227">
      <c r="F227" s="23"/>
      <c r="G227" s="24"/>
    </row>
    <row r="228">
      <c r="F228" s="23"/>
      <c r="G228" s="24"/>
    </row>
    <row r="229">
      <c r="F229" s="23"/>
      <c r="G229" s="24"/>
    </row>
    <row r="230">
      <c r="F230" s="23"/>
      <c r="G230" s="24"/>
    </row>
    <row r="231">
      <c r="F231" s="23"/>
      <c r="G231" s="24"/>
    </row>
    <row r="232">
      <c r="F232" s="23"/>
      <c r="G232" s="24"/>
    </row>
    <row r="233">
      <c r="F233" s="23"/>
      <c r="G233" s="24"/>
    </row>
    <row r="234">
      <c r="F234" s="23"/>
      <c r="G234" s="24"/>
    </row>
    <row r="235">
      <c r="F235" s="23"/>
      <c r="G235" s="24"/>
    </row>
    <row r="236">
      <c r="F236" s="23"/>
      <c r="G236" s="24"/>
    </row>
    <row r="237">
      <c r="F237" s="23"/>
      <c r="G237" s="24"/>
    </row>
    <row r="238">
      <c r="F238" s="23"/>
      <c r="G238" s="24"/>
    </row>
    <row r="239">
      <c r="F239" s="23"/>
      <c r="G239" s="24"/>
    </row>
    <row r="240">
      <c r="F240" s="23"/>
      <c r="G240" s="24"/>
    </row>
    <row r="241">
      <c r="F241" s="23"/>
      <c r="G241" s="24"/>
    </row>
    <row r="242">
      <c r="F242" s="23"/>
      <c r="G242" s="24"/>
    </row>
    <row r="243">
      <c r="F243" s="23"/>
      <c r="G243" s="24"/>
    </row>
    <row r="244">
      <c r="F244" s="23"/>
      <c r="G244" s="24"/>
    </row>
    <row r="245">
      <c r="F245" s="23"/>
      <c r="G245" s="24"/>
    </row>
    <row r="246">
      <c r="F246" s="23"/>
      <c r="G246" s="24"/>
    </row>
    <row r="247">
      <c r="F247" s="23"/>
      <c r="G247" s="24"/>
    </row>
    <row r="248">
      <c r="F248" s="23"/>
      <c r="G248" s="24"/>
    </row>
    <row r="249">
      <c r="F249" s="23"/>
      <c r="G249" s="24"/>
    </row>
    <row r="250">
      <c r="F250" s="23"/>
      <c r="G250" s="24"/>
    </row>
    <row r="251">
      <c r="F251" s="23"/>
      <c r="G251" s="24"/>
    </row>
    <row r="252">
      <c r="F252" s="23"/>
      <c r="G252" s="24"/>
    </row>
    <row r="253">
      <c r="F253" s="23"/>
      <c r="G253" s="24"/>
    </row>
    <row r="254">
      <c r="F254" s="23"/>
      <c r="G254" s="24"/>
    </row>
    <row r="255">
      <c r="F255" s="23"/>
      <c r="G255" s="24"/>
    </row>
    <row r="256">
      <c r="F256" s="23"/>
      <c r="G256" s="24"/>
    </row>
    <row r="257">
      <c r="F257" s="23"/>
      <c r="G257" s="24"/>
    </row>
    <row r="258">
      <c r="F258" s="23"/>
      <c r="G258" s="24"/>
    </row>
    <row r="259">
      <c r="F259" s="23"/>
      <c r="G259" s="24"/>
    </row>
    <row r="260">
      <c r="F260" s="23"/>
      <c r="G260" s="24"/>
    </row>
    <row r="261">
      <c r="F261" s="23"/>
      <c r="G261" s="24"/>
    </row>
    <row r="262">
      <c r="F262" s="23"/>
      <c r="G262" s="24"/>
    </row>
    <row r="263">
      <c r="F263" s="23"/>
      <c r="G263" s="24"/>
    </row>
    <row r="264">
      <c r="F264" s="23"/>
      <c r="G264" s="24"/>
    </row>
    <row r="265">
      <c r="F265" s="23"/>
      <c r="G265" s="24"/>
    </row>
    <row r="266">
      <c r="F266" s="23"/>
      <c r="G266" s="24"/>
    </row>
    <row r="267">
      <c r="F267" s="23"/>
      <c r="G267" s="24"/>
    </row>
    <row r="268">
      <c r="F268" s="23"/>
      <c r="G268" s="24"/>
    </row>
    <row r="269">
      <c r="F269" s="23"/>
      <c r="G269" s="24"/>
    </row>
    <row r="270">
      <c r="F270" s="23"/>
      <c r="G270" s="24"/>
    </row>
    <row r="271">
      <c r="F271" s="23"/>
      <c r="G271" s="24"/>
    </row>
    <row r="272">
      <c r="F272" s="23"/>
      <c r="G272" s="24"/>
    </row>
    <row r="273">
      <c r="F273" s="23"/>
      <c r="G273" s="24"/>
    </row>
    <row r="274">
      <c r="F274" s="23"/>
      <c r="G274" s="24"/>
    </row>
    <row r="275">
      <c r="F275" s="23"/>
      <c r="G275" s="24"/>
    </row>
    <row r="276">
      <c r="F276" s="23"/>
      <c r="G276" s="24"/>
    </row>
    <row r="277">
      <c r="F277" s="23"/>
      <c r="G277" s="24"/>
    </row>
    <row r="278">
      <c r="F278" s="23"/>
      <c r="G278" s="24"/>
    </row>
    <row r="279">
      <c r="F279" s="23"/>
      <c r="G279" s="24"/>
    </row>
    <row r="280">
      <c r="F280" s="23"/>
      <c r="G280" s="24"/>
    </row>
    <row r="281">
      <c r="F281" s="23"/>
      <c r="G281" s="24"/>
    </row>
    <row r="282">
      <c r="F282" s="23"/>
      <c r="G282" s="24"/>
    </row>
    <row r="283">
      <c r="F283" s="23"/>
      <c r="G283" s="24"/>
    </row>
    <row r="284">
      <c r="F284" s="23"/>
      <c r="G284" s="24"/>
    </row>
    <row r="285">
      <c r="F285" s="23"/>
      <c r="G285" s="24"/>
    </row>
    <row r="286">
      <c r="F286" s="23"/>
      <c r="G286" s="24"/>
    </row>
    <row r="287">
      <c r="F287" s="23"/>
      <c r="G287" s="24"/>
    </row>
    <row r="288">
      <c r="F288" s="23"/>
      <c r="G288" s="24"/>
    </row>
    <row r="289">
      <c r="F289" s="23"/>
      <c r="G289" s="24"/>
    </row>
    <row r="290">
      <c r="F290" s="23"/>
      <c r="G290" s="24"/>
    </row>
    <row r="291">
      <c r="F291" s="23"/>
      <c r="G291" s="24"/>
    </row>
    <row r="292">
      <c r="F292" s="23"/>
      <c r="G292" s="24"/>
    </row>
    <row r="293">
      <c r="F293" s="23"/>
      <c r="G293" s="24"/>
    </row>
    <row r="294">
      <c r="F294" s="23"/>
      <c r="G294" s="24"/>
    </row>
    <row r="295">
      <c r="F295" s="23"/>
      <c r="G295" s="24"/>
    </row>
    <row r="296">
      <c r="F296" s="23"/>
      <c r="G296" s="24"/>
    </row>
    <row r="297">
      <c r="F297" s="23"/>
      <c r="G297" s="24"/>
    </row>
    <row r="298">
      <c r="F298" s="23"/>
      <c r="G298" s="24"/>
    </row>
    <row r="299">
      <c r="F299" s="23"/>
      <c r="G299" s="24"/>
    </row>
    <row r="300">
      <c r="F300" s="23"/>
      <c r="G300" s="24"/>
    </row>
    <row r="301">
      <c r="F301" s="23"/>
      <c r="G301" s="24"/>
    </row>
    <row r="302">
      <c r="F302" s="23"/>
      <c r="G302" s="24"/>
    </row>
    <row r="303">
      <c r="F303" s="23"/>
      <c r="G303" s="24"/>
    </row>
    <row r="304">
      <c r="F304" s="23"/>
      <c r="G304" s="24"/>
    </row>
    <row r="305">
      <c r="F305" s="23"/>
      <c r="G305" s="24"/>
    </row>
    <row r="306">
      <c r="F306" s="23"/>
      <c r="G306" s="24"/>
    </row>
    <row r="307">
      <c r="F307" s="23"/>
      <c r="G307" s="24"/>
    </row>
    <row r="308">
      <c r="F308" s="23"/>
      <c r="G308" s="24"/>
    </row>
    <row r="309">
      <c r="F309" s="23"/>
      <c r="G309" s="24"/>
    </row>
    <row r="310">
      <c r="F310" s="23"/>
      <c r="G310" s="24"/>
    </row>
    <row r="311">
      <c r="F311" s="23"/>
      <c r="G311" s="24"/>
    </row>
    <row r="312">
      <c r="F312" s="23"/>
      <c r="G312" s="24"/>
    </row>
    <row r="313">
      <c r="F313" s="23"/>
      <c r="G313" s="24"/>
    </row>
    <row r="314">
      <c r="F314" s="23"/>
      <c r="G314" s="24"/>
    </row>
    <row r="315">
      <c r="F315" s="23"/>
      <c r="G315" s="24"/>
    </row>
    <row r="316">
      <c r="F316" s="23"/>
      <c r="G316" s="24"/>
    </row>
    <row r="317">
      <c r="F317" s="23"/>
      <c r="G317" s="24"/>
    </row>
    <row r="318">
      <c r="F318" s="23"/>
      <c r="G318" s="24"/>
    </row>
    <row r="319">
      <c r="F319" s="23"/>
      <c r="G319" s="24"/>
    </row>
    <row r="320">
      <c r="F320" s="23"/>
      <c r="G320" s="24"/>
    </row>
    <row r="321">
      <c r="F321" s="23"/>
      <c r="G321" s="24"/>
    </row>
    <row r="322">
      <c r="F322" s="23"/>
      <c r="G322" s="24"/>
    </row>
    <row r="323">
      <c r="F323" s="23"/>
      <c r="G323" s="24"/>
    </row>
    <row r="324">
      <c r="F324" s="23"/>
      <c r="G324" s="24"/>
    </row>
    <row r="325">
      <c r="F325" s="23"/>
      <c r="G325" s="24"/>
    </row>
    <row r="326">
      <c r="F326" s="23"/>
      <c r="G326" s="24"/>
    </row>
    <row r="327">
      <c r="F327" s="23"/>
      <c r="G327" s="24"/>
    </row>
    <row r="328">
      <c r="F328" s="23"/>
      <c r="G328" s="24"/>
    </row>
    <row r="329">
      <c r="F329" s="23"/>
      <c r="G329" s="24"/>
    </row>
    <row r="330">
      <c r="F330" s="23"/>
      <c r="G330" s="24"/>
    </row>
    <row r="331">
      <c r="F331" s="23"/>
      <c r="G331" s="24"/>
    </row>
    <row r="332">
      <c r="F332" s="23"/>
      <c r="G332" s="24"/>
    </row>
    <row r="333">
      <c r="F333" s="23"/>
      <c r="G333" s="24"/>
    </row>
    <row r="334">
      <c r="F334" s="23"/>
      <c r="G334" s="24"/>
    </row>
    <row r="335">
      <c r="F335" s="23"/>
      <c r="G335" s="24"/>
    </row>
    <row r="336">
      <c r="F336" s="23"/>
      <c r="G336" s="24"/>
    </row>
    <row r="337">
      <c r="F337" s="23"/>
      <c r="G337" s="24"/>
    </row>
    <row r="338">
      <c r="F338" s="23"/>
      <c r="G338" s="24"/>
    </row>
    <row r="339">
      <c r="F339" s="23"/>
      <c r="G339" s="24"/>
    </row>
    <row r="340">
      <c r="F340" s="23"/>
      <c r="G340" s="24"/>
    </row>
    <row r="341">
      <c r="F341" s="23"/>
      <c r="G341" s="24"/>
    </row>
    <row r="342">
      <c r="F342" s="23"/>
      <c r="G342" s="24"/>
    </row>
    <row r="343">
      <c r="F343" s="23"/>
      <c r="G343" s="24"/>
    </row>
    <row r="344">
      <c r="F344" s="23"/>
      <c r="G344" s="24"/>
    </row>
    <row r="345">
      <c r="F345" s="23"/>
      <c r="G345" s="24"/>
    </row>
    <row r="346">
      <c r="F346" s="23"/>
      <c r="G346" s="24"/>
    </row>
    <row r="347">
      <c r="F347" s="23"/>
      <c r="G347" s="24"/>
    </row>
    <row r="348">
      <c r="F348" s="23"/>
      <c r="G348" s="24"/>
    </row>
    <row r="349">
      <c r="F349" s="23"/>
      <c r="G349" s="24"/>
    </row>
    <row r="350">
      <c r="F350" s="23"/>
      <c r="G350" s="24"/>
    </row>
    <row r="351">
      <c r="F351" s="23"/>
      <c r="G351" s="24"/>
    </row>
    <row r="352">
      <c r="F352" s="23"/>
      <c r="G352" s="24"/>
    </row>
    <row r="353">
      <c r="F353" s="23"/>
      <c r="G353" s="24"/>
    </row>
    <row r="354">
      <c r="F354" s="23"/>
      <c r="G354" s="24"/>
    </row>
    <row r="355">
      <c r="F355" s="23"/>
      <c r="G355" s="24"/>
    </row>
    <row r="356">
      <c r="F356" s="23"/>
      <c r="G356" s="24"/>
    </row>
    <row r="357">
      <c r="F357" s="23"/>
      <c r="G357" s="24"/>
    </row>
    <row r="358">
      <c r="F358" s="23"/>
      <c r="G358" s="24"/>
    </row>
    <row r="359">
      <c r="F359" s="23"/>
      <c r="G359" s="24"/>
    </row>
    <row r="360">
      <c r="F360" s="23"/>
      <c r="G360" s="24"/>
    </row>
    <row r="361">
      <c r="F361" s="23"/>
      <c r="G361" s="24"/>
    </row>
    <row r="362">
      <c r="F362" s="23"/>
      <c r="G362" s="24"/>
    </row>
    <row r="363">
      <c r="F363" s="23"/>
      <c r="G363" s="24"/>
    </row>
    <row r="364">
      <c r="F364" s="23"/>
      <c r="G364" s="24"/>
    </row>
    <row r="365">
      <c r="F365" s="23"/>
      <c r="G365" s="24"/>
    </row>
    <row r="366">
      <c r="F366" s="23"/>
      <c r="G366" s="24"/>
    </row>
    <row r="367">
      <c r="F367" s="23"/>
      <c r="G367" s="24"/>
    </row>
    <row r="368">
      <c r="F368" s="23"/>
      <c r="G368" s="24"/>
    </row>
    <row r="369">
      <c r="F369" s="23"/>
      <c r="G369" s="24"/>
    </row>
    <row r="370">
      <c r="F370" s="23"/>
      <c r="G370" s="24"/>
    </row>
    <row r="371">
      <c r="F371" s="23"/>
      <c r="G371" s="24"/>
    </row>
    <row r="372">
      <c r="F372" s="23"/>
      <c r="G372" s="24"/>
    </row>
    <row r="373">
      <c r="F373" s="23"/>
      <c r="G373" s="24"/>
    </row>
    <row r="374">
      <c r="F374" s="23"/>
      <c r="G374" s="24"/>
    </row>
    <row r="375">
      <c r="F375" s="23"/>
      <c r="G375" s="24"/>
    </row>
    <row r="376">
      <c r="F376" s="23"/>
      <c r="G376" s="24"/>
    </row>
    <row r="377">
      <c r="F377" s="23"/>
      <c r="G377" s="24"/>
    </row>
    <row r="378">
      <c r="F378" s="23"/>
      <c r="G378" s="24"/>
    </row>
    <row r="379">
      <c r="F379" s="23"/>
      <c r="G379" s="24"/>
    </row>
    <row r="380">
      <c r="F380" s="23"/>
      <c r="G380" s="24"/>
    </row>
    <row r="381">
      <c r="F381" s="23"/>
      <c r="G381" s="24"/>
    </row>
    <row r="382">
      <c r="F382" s="23"/>
      <c r="G382" s="24"/>
    </row>
    <row r="383">
      <c r="F383" s="23"/>
      <c r="G383" s="24"/>
    </row>
    <row r="384">
      <c r="F384" s="23"/>
      <c r="G384" s="24"/>
    </row>
    <row r="385">
      <c r="F385" s="23"/>
      <c r="G385" s="24"/>
    </row>
    <row r="386">
      <c r="F386" s="23"/>
      <c r="G386" s="24"/>
    </row>
    <row r="387">
      <c r="F387" s="23"/>
      <c r="G387" s="24"/>
    </row>
    <row r="388">
      <c r="F388" s="23"/>
      <c r="G388" s="24"/>
    </row>
    <row r="389">
      <c r="F389" s="23"/>
      <c r="G389" s="24"/>
    </row>
    <row r="390">
      <c r="F390" s="23"/>
      <c r="G390" s="24"/>
    </row>
    <row r="391">
      <c r="F391" s="23"/>
      <c r="G391" s="24"/>
    </row>
    <row r="392">
      <c r="F392" s="23"/>
      <c r="G392" s="24"/>
    </row>
    <row r="393">
      <c r="F393" s="23"/>
      <c r="G393" s="24"/>
    </row>
    <row r="394">
      <c r="F394" s="23"/>
      <c r="G394" s="24"/>
    </row>
    <row r="395">
      <c r="F395" s="23"/>
      <c r="G395" s="24"/>
    </row>
    <row r="396">
      <c r="F396" s="23"/>
      <c r="G396" s="24"/>
    </row>
    <row r="397">
      <c r="F397" s="23"/>
      <c r="G397" s="24"/>
    </row>
    <row r="398">
      <c r="F398" s="23"/>
      <c r="G398" s="24"/>
    </row>
    <row r="399">
      <c r="F399" s="23"/>
      <c r="G399" s="24"/>
    </row>
    <row r="400">
      <c r="F400" s="23"/>
      <c r="G400" s="24"/>
    </row>
    <row r="401">
      <c r="F401" s="23"/>
      <c r="G401" s="24"/>
    </row>
    <row r="402">
      <c r="F402" s="23"/>
      <c r="G402" s="24"/>
    </row>
    <row r="403">
      <c r="F403" s="23"/>
      <c r="G403" s="24"/>
    </row>
    <row r="404">
      <c r="F404" s="23"/>
      <c r="G404" s="24"/>
    </row>
    <row r="405">
      <c r="F405" s="23"/>
      <c r="G405" s="24"/>
    </row>
    <row r="406">
      <c r="F406" s="23"/>
      <c r="G406" s="24"/>
    </row>
    <row r="407">
      <c r="F407" s="23"/>
      <c r="G407" s="24"/>
    </row>
    <row r="408">
      <c r="F408" s="23"/>
      <c r="G408" s="24"/>
    </row>
    <row r="409">
      <c r="F409" s="23"/>
      <c r="G409" s="24"/>
    </row>
    <row r="410">
      <c r="F410" s="23"/>
      <c r="G410" s="24"/>
    </row>
    <row r="411">
      <c r="F411" s="23"/>
      <c r="G411" s="24"/>
    </row>
    <row r="412">
      <c r="F412" s="23"/>
      <c r="G412" s="24"/>
    </row>
    <row r="413">
      <c r="F413" s="23"/>
      <c r="G413" s="24"/>
    </row>
    <row r="414">
      <c r="F414" s="23"/>
      <c r="G414" s="24"/>
    </row>
    <row r="415">
      <c r="F415" s="23"/>
      <c r="G415" s="24"/>
    </row>
    <row r="416">
      <c r="F416" s="23"/>
      <c r="G416" s="24"/>
    </row>
    <row r="417">
      <c r="F417" s="23"/>
      <c r="G417" s="24"/>
    </row>
    <row r="418">
      <c r="F418" s="23"/>
      <c r="G418" s="24"/>
    </row>
    <row r="419">
      <c r="F419" s="23"/>
      <c r="G419" s="24"/>
    </row>
    <row r="420">
      <c r="F420" s="23"/>
      <c r="G420" s="24"/>
    </row>
    <row r="421">
      <c r="F421" s="23"/>
      <c r="G421" s="24"/>
    </row>
    <row r="422">
      <c r="F422" s="23"/>
      <c r="G422" s="24"/>
    </row>
    <row r="423">
      <c r="F423" s="23"/>
      <c r="G423" s="24"/>
    </row>
    <row r="424">
      <c r="F424" s="23"/>
      <c r="G424" s="24"/>
    </row>
    <row r="425">
      <c r="F425" s="23"/>
      <c r="G425" s="24"/>
    </row>
    <row r="426">
      <c r="F426" s="23"/>
      <c r="G426" s="24"/>
    </row>
    <row r="427">
      <c r="F427" s="23"/>
      <c r="G427" s="24"/>
    </row>
    <row r="428">
      <c r="F428" s="23"/>
      <c r="G428" s="24"/>
    </row>
    <row r="429">
      <c r="F429" s="23"/>
      <c r="G429" s="24"/>
    </row>
    <row r="430">
      <c r="F430" s="23"/>
      <c r="G430" s="24"/>
    </row>
    <row r="431">
      <c r="F431" s="23"/>
      <c r="G431" s="24"/>
    </row>
    <row r="432">
      <c r="F432" s="23"/>
      <c r="G432" s="24"/>
    </row>
    <row r="433">
      <c r="F433" s="23"/>
      <c r="G433" s="24"/>
    </row>
    <row r="434">
      <c r="F434" s="23"/>
      <c r="G434" s="24"/>
    </row>
    <row r="435">
      <c r="F435" s="23"/>
      <c r="G435" s="24"/>
    </row>
    <row r="436">
      <c r="F436" s="23"/>
      <c r="G436" s="24"/>
    </row>
    <row r="437">
      <c r="F437" s="23"/>
      <c r="G437" s="24"/>
    </row>
    <row r="438">
      <c r="F438" s="23"/>
      <c r="G438" s="24"/>
    </row>
    <row r="439">
      <c r="F439" s="23"/>
      <c r="G439" s="24"/>
    </row>
    <row r="440">
      <c r="F440" s="23"/>
      <c r="G440" s="24"/>
    </row>
    <row r="441">
      <c r="F441" s="23"/>
      <c r="G441" s="24"/>
    </row>
    <row r="442">
      <c r="F442" s="23"/>
      <c r="G442" s="24"/>
    </row>
    <row r="443">
      <c r="F443" s="23"/>
      <c r="G443" s="24"/>
    </row>
    <row r="444">
      <c r="F444" s="23"/>
      <c r="G444" s="24"/>
    </row>
    <row r="445">
      <c r="F445" s="23"/>
      <c r="G445" s="24"/>
    </row>
    <row r="446">
      <c r="F446" s="23"/>
      <c r="G446" s="24"/>
    </row>
    <row r="447">
      <c r="F447" s="23"/>
      <c r="G447" s="24"/>
    </row>
    <row r="448">
      <c r="F448" s="23"/>
      <c r="G448" s="24"/>
    </row>
    <row r="449">
      <c r="F449" s="23"/>
      <c r="G449" s="24"/>
    </row>
    <row r="450">
      <c r="F450" s="23"/>
      <c r="G450" s="24"/>
    </row>
    <row r="451">
      <c r="F451" s="23"/>
      <c r="G451" s="24"/>
    </row>
    <row r="452">
      <c r="F452" s="23"/>
      <c r="G452" s="24"/>
    </row>
    <row r="453">
      <c r="F453" s="23"/>
      <c r="G453" s="24"/>
    </row>
    <row r="454">
      <c r="F454" s="23"/>
      <c r="G454" s="24"/>
    </row>
    <row r="455">
      <c r="F455" s="23"/>
      <c r="G455" s="24"/>
    </row>
    <row r="456">
      <c r="F456" s="23"/>
      <c r="G456" s="24"/>
    </row>
    <row r="457">
      <c r="F457" s="23"/>
      <c r="G457" s="24"/>
    </row>
    <row r="458">
      <c r="F458" s="23"/>
      <c r="G458" s="24"/>
    </row>
    <row r="459">
      <c r="F459" s="23"/>
      <c r="G459" s="24"/>
    </row>
    <row r="460">
      <c r="F460" s="23"/>
      <c r="G460" s="24"/>
    </row>
    <row r="461">
      <c r="F461" s="23"/>
      <c r="G461" s="24"/>
    </row>
    <row r="462">
      <c r="F462" s="23"/>
      <c r="G462" s="24"/>
    </row>
    <row r="463">
      <c r="F463" s="23"/>
      <c r="G463" s="24"/>
    </row>
    <row r="464">
      <c r="F464" s="23"/>
      <c r="G464" s="24"/>
    </row>
    <row r="465">
      <c r="F465" s="23"/>
      <c r="G465" s="24"/>
    </row>
    <row r="466">
      <c r="F466" s="23"/>
      <c r="G466" s="24"/>
    </row>
    <row r="467">
      <c r="F467" s="23"/>
      <c r="G467" s="24"/>
    </row>
    <row r="468">
      <c r="F468" s="23"/>
      <c r="G468" s="24"/>
    </row>
    <row r="469">
      <c r="F469" s="23"/>
      <c r="G469" s="24"/>
    </row>
    <row r="470">
      <c r="F470" s="23"/>
      <c r="G470" s="24"/>
    </row>
    <row r="471">
      <c r="F471" s="23"/>
      <c r="G471" s="24"/>
    </row>
    <row r="472">
      <c r="F472" s="23"/>
      <c r="G472" s="24"/>
    </row>
    <row r="473">
      <c r="F473" s="23"/>
      <c r="G473" s="24"/>
    </row>
    <row r="474">
      <c r="F474" s="23"/>
      <c r="G474" s="24"/>
    </row>
    <row r="475">
      <c r="F475" s="23"/>
      <c r="G475" s="24"/>
    </row>
    <row r="476">
      <c r="F476" s="23"/>
      <c r="G476" s="24"/>
    </row>
    <row r="477">
      <c r="F477" s="23"/>
      <c r="G477" s="24"/>
    </row>
    <row r="478">
      <c r="F478" s="23"/>
      <c r="G478" s="24"/>
    </row>
    <row r="479">
      <c r="F479" s="23"/>
      <c r="G479" s="24"/>
    </row>
    <row r="480">
      <c r="F480" s="23"/>
      <c r="G480" s="24"/>
    </row>
    <row r="481">
      <c r="F481" s="23"/>
      <c r="G481" s="24"/>
    </row>
    <row r="482">
      <c r="F482" s="23"/>
      <c r="G482" s="24"/>
    </row>
    <row r="483">
      <c r="F483" s="23"/>
      <c r="G483" s="24"/>
    </row>
    <row r="484">
      <c r="F484" s="23"/>
      <c r="G484" s="24"/>
    </row>
    <row r="485">
      <c r="F485" s="23"/>
      <c r="G485" s="24"/>
    </row>
    <row r="486">
      <c r="F486" s="23"/>
      <c r="G486" s="24"/>
    </row>
    <row r="487">
      <c r="F487" s="23"/>
      <c r="G487" s="24"/>
    </row>
    <row r="488">
      <c r="F488" s="23"/>
      <c r="G488" s="24"/>
    </row>
    <row r="489">
      <c r="F489" s="23"/>
      <c r="G489" s="24"/>
    </row>
    <row r="490">
      <c r="F490" s="23"/>
      <c r="G490" s="24"/>
    </row>
    <row r="491">
      <c r="F491" s="23"/>
      <c r="G491" s="24"/>
    </row>
    <row r="492">
      <c r="F492" s="23"/>
      <c r="G492" s="24"/>
    </row>
    <row r="493">
      <c r="F493" s="23"/>
      <c r="G493" s="24"/>
    </row>
    <row r="494">
      <c r="F494" s="23"/>
      <c r="G494" s="24"/>
    </row>
    <row r="495">
      <c r="F495" s="23"/>
      <c r="G495" s="24"/>
    </row>
    <row r="496">
      <c r="F496" s="23"/>
      <c r="G496" s="24"/>
    </row>
    <row r="497">
      <c r="F497" s="23"/>
      <c r="G497" s="24"/>
    </row>
    <row r="498">
      <c r="F498" s="23"/>
      <c r="G498" s="24"/>
    </row>
    <row r="499">
      <c r="F499" s="23"/>
      <c r="G499" s="24"/>
    </row>
    <row r="500">
      <c r="F500" s="23"/>
      <c r="G500" s="24"/>
    </row>
    <row r="501">
      <c r="F501" s="23"/>
      <c r="G501" s="24"/>
    </row>
    <row r="502">
      <c r="F502" s="23"/>
      <c r="G502" s="24"/>
    </row>
    <row r="503">
      <c r="F503" s="23"/>
      <c r="G503" s="24"/>
    </row>
    <row r="504">
      <c r="F504" s="23"/>
      <c r="G504" s="24"/>
    </row>
    <row r="505">
      <c r="F505" s="23"/>
      <c r="G505" s="24"/>
    </row>
    <row r="506">
      <c r="F506" s="23"/>
      <c r="G506" s="24"/>
    </row>
    <row r="507">
      <c r="F507" s="23"/>
      <c r="G507" s="24"/>
    </row>
    <row r="508">
      <c r="F508" s="23"/>
      <c r="G508" s="24"/>
    </row>
    <row r="509">
      <c r="F509" s="23"/>
      <c r="G509" s="24"/>
    </row>
    <row r="510">
      <c r="F510" s="23"/>
      <c r="G510" s="24"/>
    </row>
    <row r="511">
      <c r="F511" s="23"/>
      <c r="G511" s="24"/>
    </row>
    <row r="512">
      <c r="F512" s="23"/>
      <c r="G512" s="24"/>
    </row>
    <row r="513">
      <c r="F513" s="23"/>
      <c r="G513" s="24"/>
    </row>
    <row r="514">
      <c r="F514" s="23"/>
      <c r="G514" s="24"/>
    </row>
    <row r="515">
      <c r="F515" s="23"/>
      <c r="G515" s="24"/>
    </row>
    <row r="516">
      <c r="F516" s="23"/>
      <c r="G516" s="24"/>
    </row>
    <row r="517">
      <c r="F517" s="23"/>
      <c r="G517" s="24"/>
    </row>
    <row r="518">
      <c r="F518" s="23"/>
      <c r="G518" s="24"/>
    </row>
    <row r="519">
      <c r="F519" s="23"/>
      <c r="G519" s="24"/>
    </row>
    <row r="520">
      <c r="F520" s="23"/>
      <c r="G520" s="24"/>
    </row>
    <row r="521">
      <c r="F521" s="23"/>
      <c r="G521" s="24"/>
    </row>
    <row r="522">
      <c r="F522" s="23"/>
      <c r="G522" s="24"/>
    </row>
    <row r="523">
      <c r="F523" s="23"/>
      <c r="G523" s="24"/>
    </row>
    <row r="524">
      <c r="F524" s="23"/>
      <c r="G524" s="24"/>
    </row>
    <row r="525">
      <c r="F525" s="23"/>
      <c r="G525" s="24"/>
    </row>
    <row r="526">
      <c r="F526" s="23"/>
      <c r="G526" s="24"/>
    </row>
    <row r="527">
      <c r="F527" s="23"/>
      <c r="G527" s="24"/>
    </row>
    <row r="528">
      <c r="F528" s="23"/>
      <c r="G528" s="24"/>
    </row>
    <row r="529">
      <c r="F529" s="23"/>
      <c r="G529" s="24"/>
    </row>
    <row r="530">
      <c r="F530" s="23"/>
      <c r="G530" s="24"/>
    </row>
    <row r="531">
      <c r="F531" s="23"/>
      <c r="G531" s="24"/>
    </row>
    <row r="532">
      <c r="F532" s="23"/>
      <c r="G532" s="24"/>
    </row>
    <row r="533">
      <c r="F533" s="23"/>
      <c r="G533" s="24"/>
    </row>
    <row r="534">
      <c r="F534" s="23"/>
      <c r="G534" s="24"/>
    </row>
    <row r="535">
      <c r="F535" s="23"/>
      <c r="G535" s="24"/>
    </row>
    <row r="536">
      <c r="F536" s="23"/>
      <c r="G536" s="24"/>
    </row>
    <row r="537">
      <c r="F537" s="23"/>
      <c r="G537" s="24"/>
    </row>
    <row r="538">
      <c r="F538" s="23"/>
      <c r="G538" s="24"/>
    </row>
    <row r="539">
      <c r="F539" s="23"/>
      <c r="G539" s="24"/>
    </row>
    <row r="540">
      <c r="F540" s="23"/>
      <c r="G540" s="24"/>
    </row>
    <row r="541">
      <c r="F541" s="23"/>
      <c r="G541" s="24"/>
    </row>
    <row r="542">
      <c r="F542" s="23"/>
      <c r="G542" s="24"/>
    </row>
    <row r="543">
      <c r="F543" s="23"/>
      <c r="G543" s="24"/>
    </row>
    <row r="544">
      <c r="F544" s="23"/>
      <c r="G544" s="24"/>
    </row>
    <row r="545">
      <c r="F545" s="23"/>
      <c r="G545" s="24"/>
    </row>
    <row r="546">
      <c r="F546" s="23"/>
      <c r="G546" s="24"/>
    </row>
    <row r="547">
      <c r="F547" s="23"/>
      <c r="G547" s="24"/>
    </row>
    <row r="548">
      <c r="F548" s="23"/>
      <c r="G548" s="24"/>
    </row>
    <row r="549">
      <c r="F549" s="23"/>
      <c r="G549" s="24"/>
    </row>
    <row r="550">
      <c r="F550" s="23"/>
      <c r="G550" s="24"/>
    </row>
    <row r="551">
      <c r="F551" s="23"/>
      <c r="G551" s="24"/>
    </row>
    <row r="552">
      <c r="F552" s="23"/>
      <c r="G552" s="24"/>
    </row>
    <row r="553">
      <c r="F553" s="23"/>
      <c r="G553" s="24"/>
    </row>
    <row r="554">
      <c r="F554" s="23"/>
      <c r="G554" s="24"/>
    </row>
    <row r="555">
      <c r="F555" s="23"/>
      <c r="G555" s="24"/>
    </row>
    <row r="556">
      <c r="F556" s="23"/>
      <c r="G556" s="24"/>
    </row>
    <row r="557">
      <c r="F557" s="23"/>
      <c r="G557" s="24"/>
    </row>
    <row r="558">
      <c r="F558" s="23"/>
      <c r="G558" s="24"/>
    </row>
    <row r="559">
      <c r="F559" s="23"/>
      <c r="G559" s="24"/>
    </row>
    <row r="560">
      <c r="F560" s="23"/>
      <c r="G560" s="24"/>
    </row>
    <row r="561">
      <c r="F561" s="23"/>
      <c r="G561" s="24"/>
    </row>
    <row r="562">
      <c r="F562" s="23"/>
      <c r="G562" s="24"/>
    </row>
    <row r="563">
      <c r="F563" s="23"/>
      <c r="G563" s="24"/>
    </row>
    <row r="564">
      <c r="F564" s="23"/>
      <c r="G564" s="24"/>
    </row>
    <row r="565">
      <c r="F565" s="23"/>
      <c r="G565" s="24"/>
    </row>
    <row r="566">
      <c r="F566" s="23"/>
      <c r="G566" s="24"/>
    </row>
    <row r="567">
      <c r="F567" s="23"/>
      <c r="G567" s="24"/>
    </row>
    <row r="568">
      <c r="F568" s="23"/>
      <c r="G568" s="24"/>
    </row>
    <row r="569">
      <c r="F569" s="23"/>
      <c r="G569" s="24"/>
    </row>
    <row r="570">
      <c r="F570" s="23"/>
      <c r="G570" s="24"/>
    </row>
    <row r="571">
      <c r="F571" s="23"/>
      <c r="G571" s="24"/>
    </row>
    <row r="572">
      <c r="F572" s="23"/>
      <c r="G572" s="24"/>
    </row>
    <row r="573">
      <c r="F573" s="23"/>
      <c r="G573" s="24"/>
    </row>
    <row r="574">
      <c r="F574" s="23"/>
      <c r="G574" s="24"/>
    </row>
    <row r="575">
      <c r="F575" s="23"/>
      <c r="G575" s="24"/>
    </row>
    <row r="576">
      <c r="F576" s="23"/>
      <c r="G576" s="24"/>
    </row>
    <row r="577">
      <c r="F577" s="23"/>
      <c r="G577" s="24"/>
    </row>
    <row r="578">
      <c r="F578" s="23"/>
      <c r="G578" s="24"/>
    </row>
    <row r="579">
      <c r="F579" s="23"/>
      <c r="G579" s="24"/>
    </row>
    <row r="580">
      <c r="F580" s="23"/>
      <c r="G580" s="24"/>
    </row>
    <row r="581">
      <c r="F581" s="23"/>
      <c r="G581" s="24"/>
    </row>
    <row r="582">
      <c r="F582" s="23"/>
      <c r="G582" s="24"/>
    </row>
    <row r="583">
      <c r="F583" s="23"/>
      <c r="G583" s="24"/>
    </row>
    <row r="584">
      <c r="F584" s="23"/>
      <c r="G584" s="24"/>
    </row>
    <row r="585">
      <c r="F585" s="23"/>
      <c r="G585" s="24"/>
    </row>
    <row r="586">
      <c r="F586" s="23"/>
      <c r="G586" s="24"/>
    </row>
    <row r="587">
      <c r="F587" s="23"/>
      <c r="G587" s="24"/>
    </row>
    <row r="588">
      <c r="F588" s="23"/>
      <c r="G588" s="24"/>
    </row>
    <row r="589">
      <c r="F589" s="23"/>
      <c r="G589" s="24"/>
    </row>
    <row r="590">
      <c r="F590" s="23"/>
      <c r="G590" s="24"/>
    </row>
    <row r="591">
      <c r="F591" s="23"/>
      <c r="G591" s="24"/>
    </row>
    <row r="592">
      <c r="F592" s="23"/>
      <c r="G592" s="24"/>
    </row>
    <row r="593">
      <c r="F593" s="23"/>
      <c r="G593" s="24"/>
    </row>
    <row r="594">
      <c r="F594" s="23"/>
      <c r="G594" s="24"/>
    </row>
    <row r="595">
      <c r="F595" s="23"/>
      <c r="G595" s="24"/>
    </row>
    <row r="596">
      <c r="F596" s="23"/>
      <c r="G596" s="24"/>
    </row>
    <row r="597">
      <c r="F597" s="23"/>
      <c r="G597" s="24"/>
    </row>
    <row r="598">
      <c r="F598" s="23"/>
      <c r="G598" s="24"/>
    </row>
    <row r="599">
      <c r="F599" s="23"/>
      <c r="G599" s="24"/>
    </row>
    <row r="600">
      <c r="F600" s="23"/>
      <c r="G600" s="24"/>
    </row>
    <row r="601">
      <c r="F601" s="23"/>
      <c r="G601" s="24"/>
    </row>
    <row r="602">
      <c r="F602" s="23"/>
      <c r="G602" s="24"/>
    </row>
    <row r="603">
      <c r="F603" s="23"/>
      <c r="G603" s="24"/>
    </row>
    <row r="604">
      <c r="F604" s="23"/>
      <c r="G604" s="24"/>
    </row>
    <row r="605">
      <c r="F605" s="23"/>
      <c r="G605" s="24"/>
    </row>
    <row r="606">
      <c r="F606" s="23"/>
      <c r="G606" s="24"/>
    </row>
    <row r="607">
      <c r="F607" s="23"/>
      <c r="G607" s="24"/>
    </row>
    <row r="608">
      <c r="F608" s="23"/>
      <c r="G608" s="24"/>
    </row>
    <row r="609">
      <c r="F609" s="23"/>
      <c r="G609" s="24"/>
    </row>
    <row r="610">
      <c r="F610" s="23"/>
      <c r="G610" s="24"/>
    </row>
    <row r="611">
      <c r="F611" s="23"/>
      <c r="G611" s="24"/>
    </row>
    <row r="612">
      <c r="F612" s="23"/>
      <c r="G612" s="24"/>
    </row>
    <row r="613">
      <c r="F613" s="23"/>
      <c r="G613" s="24"/>
    </row>
    <row r="614">
      <c r="F614" s="23"/>
      <c r="G614" s="24"/>
    </row>
    <row r="615">
      <c r="F615" s="23"/>
      <c r="G615" s="24"/>
    </row>
    <row r="616">
      <c r="F616" s="23"/>
      <c r="G616" s="24"/>
    </row>
    <row r="617">
      <c r="F617" s="23"/>
      <c r="G617" s="24"/>
    </row>
    <row r="618">
      <c r="F618" s="23"/>
      <c r="G618" s="24"/>
    </row>
    <row r="619">
      <c r="F619" s="23"/>
      <c r="G619" s="24"/>
    </row>
    <row r="620">
      <c r="F620" s="23"/>
      <c r="G620" s="24"/>
    </row>
    <row r="621">
      <c r="F621" s="23"/>
      <c r="G621" s="24"/>
    </row>
    <row r="622">
      <c r="F622" s="23"/>
      <c r="G622" s="24"/>
    </row>
    <row r="623">
      <c r="F623" s="23"/>
      <c r="G623" s="24"/>
    </row>
    <row r="624">
      <c r="F624" s="23"/>
      <c r="G624" s="24"/>
    </row>
    <row r="625">
      <c r="F625" s="23"/>
      <c r="G625" s="24"/>
    </row>
    <row r="626">
      <c r="F626" s="23"/>
      <c r="G626" s="24"/>
    </row>
    <row r="627">
      <c r="F627" s="23"/>
      <c r="G627" s="24"/>
    </row>
    <row r="628">
      <c r="F628" s="23"/>
      <c r="G628" s="24"/>
    </row>
    <row r="629">
      <c r="F629" s="23"/>
      <c r="G629" s="24"/>
    </row>
    <row r="630">
      <c r="F630" s="23"/>
      <c r="G630" s="24"/>
    </row>
    <row r="631">
      <c r="F631" s="23"/>
      <c r="G631" s="24"/>
    </row>
    <row r="632">
      <c r="F632" s="23"/>
      <c r="G632" s="24"/>
    </row>
    <row r="633">
      <c r="F633" s="23"/>
      <c r="G633" s="24"/>
    </row>
    <row r="634">
      <c r="F634" s="23"/>
      <c r="G634" s="24"/>
    </row>
    <row r="635">
      <c r="F635" s="23"/>
      <c r="G635" s="24"/>
    </row>
    <row r="636">
      <c r="F636" s="23"/>
      <c r="G636" s="24"/>
    </row>
    <row r="637">
      <c r="F637" s="23"/>
      <c r="G637" s="24"/>
    </row>
    <row r="638">
      <c r="F638" s="23"/>
      <c r="G638" s="24"/>
    </row>
    <row r="639">
      <c r="F639" s="23"/>
      <c r="G639" s="24"/>
    </row>
    <row r="640">
      <c r="F640" s="23"/>
      <c r="G640" s="24"/>
    </row>
    <row r="641">
      <c r="F641" s="23"/>
      <c r="G641" s="24"/>
    </row>
    <row r="642">
      <c r="F642" s="23"/>
      <c r="G642" s="24"/>
    </row>
    <row r="643">
      <c r="F643" s="23"/>
      <c r="G643" s="24"/>
    </row>
    <row r="644">
      <c r="F644" s="23"/>
      <c r="G644" s="24"/>
    </row>
    <row r="645">
      <c r="F645" s="23"/>
      <c r="G645" s="24"/>
    </row>
    <row r="646">
      <c r="F646" s="23"/>
      <c r="G646" s="24"/>
    </row>
    <row r="647">
      <c r="F647" s="23"/>
      <c r="G647" s="24"/>
    </row>
    <row r="648">
      <c r="F648" s="23"/>
      <c r="G648" s="24"/>
    </row>
    <row r="649">
      <c r="F649" s="23"/>
      <c r="G649" s="24"/>
    </row>
    <row r="650">
      <c r="F650" s="23"/>
      <c r="G650" s="24"/>
    </row>
    <row r="651">
      <c r="F651" s="23"/>
      <c r="G651" s="24"/>
    </row>
    <row r="652">
      <c r="F652" s="23"/>
      <c r="G652" s="24"/>
    </row>
    <row r="653">
      <c r="F653" s="23"/>
      <c r="G653" s="24"/>
    </row>
    <row r="654">
      <c r="F654" s="23"/>
      <c r="G654" s="24"/>
    </row>
    <row r="655">
      <c r="F655" s="23"/>
      <c r="G655" s="24"/>
    </row>
    <row r="656">
      <c r="F656" s="23"/>
      <c r="G656" s="24"/>
    </row>
    <row r="657">
      <c r="F657" s="23"/>
      <c r="G657" s="24"/>
    </row>
    <row r="658">
      <c r="F658" s="23"/>
      <c r="G658" s="24"/>
    </row>
    <row r="659">
      <c r="F659" s="23"/>
      <c r="G659" s="24"/>
    </row>
    <row r="660">
      <c r="F660" s="23"/>
      <c r="G660" s="24"/>
    </row>
    <row r="661">
      <c r="F661" s="23"/>
      <c r="G661" s="24"/>
    </row>
    <row r="662">
      <c r="F662" s="23"/>
      <c r="G662" s="24"/>
    </row>
    <row r="663">
      <c r="F663" s="23"/>
      <c r="G663" s="24"/>
    </row>
    <row r="664">
      <c r="F664" s="23"/>
      <c r="G664" s="24"/>
    </row>
    <row r="665">
      <c r="F665" s="23"/>
      <c r="G665" s="24"/>
    </row>
    <row r="666">
      <c r="F666" s="23"/>
      <c r="G666" s="24"/>
    </row>
    <row r="667">
      <c r="F667" s="23"/>
      <c r="G667" s="24"/>
    </row>
    <row r="668">
      <c r="F668" s="23"/>
      <c r="G668" s="24"/>
    </row>
    <row r="669">
      <c r="F669" s="23"/>
      <c r="G669" s="24"/>
    </row>
    <row r="670">
      <c r="F670" s="23"/>
      <c r="G670" s="24"/>
    </row>
    <row r="671">
      <c r="F671" s="23"/>
      <c r="G671" s="24"/>
    </row>
    <row r="672">
      <c r="F672" s="23"/>
      <c r="G672" s="24"/>
    </row>
    <row r="673">
      <c r="F673" s="23"/>
      <c r="G673" s="24"/>
    </row>
    <row r="674">
      <c r="F674" s="23"/>
      <c r="G674" s="24"/>
    </row>
    <row r="675">
      <c r="F675" s="23"/>
      <c r="G675" s="24"/>
    </row>
    <row r="676">
      <c r="F676" s="23"/>
      <c r="G676" s="24"/>
    </row>
    <row r="677">
      <c r="F677" s="23"/>
      <c r="G677" s="24"/>
    </row>
    <row r="678">
      <c r="F678" s="23"/>
      <c r="G678" s="24"/>
    </row>
    <row r="679">
      <c r="F679" s="23"/>
      <c r="G679" s="24"/>
    </row>
    <row r="680">
      <c r="F680" s="23"/>
      <c r="G680" s="24"/>
    </row>
    <row r="681">
      <c r="F681" s="23"/>
      <c r="G681" s="24"/>
    </row>
    <row r="682">
      <c r="F682" s="23"/>
      <c r="G682" s="24"/>
    </row>
    <row r="683">
      <c r="F683" s="23"/>
      <c r="G683" s="24"/>
    </row>
    <row r="684">
      <c r="F684" s="23"/>
      <c r="G684" s="24"/>
    </row>
    <row r="685">
      <c r="F685" s="23"/>
      <c r="G685" s="24"/>
    </row>
    <row r="686">
      <c r="F686" s="23"/>
      <c r="G686" s="24"/>
    </row>
    <row r="687">
      <c r="F687" s="23"/>
      <c r="G687" s="24"/>
    </row>
    <row r="688">
      <c r="F688" s="23"/>
      <c r="G688" s="24"/>
    </row>
    <row r="689">
      <c r="F689" s="23"/>
      <c r="G689" s="24"/>
    </row>
    <row r="690">
      <c r="F690" s="23"/>
      <c r="G690" s="24"/>
    </row>
    <row r="691">
      <c r="F691" s="23"/>
      <c r="G691" s="24"/>
    </row>
    <row r="692">
      <c r="F692" s="23"/>
      <c r="G692" s="24"/>
    </row>
    <row r="693">
      <c r="F693" s="23"/>
      <c r="G693" s="24"/>
    </row>
    <row r="694">
      <c r="F694" s="23"/>
      <c r="G694" s="24"/>
    </row>
    <row r="695">
      <c r="F695" s="23"/>
      <c r="G695" s="24"/>
    </row>
    <row r="696">
      <c r="F696" s="23"/>
      <c r="G696" s="24"/>
    </row>
    <row r="697">
      <c r="F697" s="23"/>
      <c r="G697" s="24"/>
    </row>
    <row r="698">
      <c r="F698" s="23"/>
      <c r="G698" s="24"/>
    </row>
    <row r="699">
      <c r="F699" s="23"/>
      <c r="G699" s="24"/>
    </row>
    <row r="700">
      <c r="F700" s="23"/>
      <c r="G700" s="24"/>
    </row>
    <row r="701">
      <c r="F701" s="23"/>
      <c r="G701" s="24"/>
    </row>
    <row r="702">
      <c r="F702" s="23"/>
      <c r="G702" s="24"/>
    </row>
    <row r="703">
      <c r="F703" s="23"/>
      <c r="G703" s="24"/>
    </row>
    <row r="704">
      <c r="F704" s="23"/>
      <c r="G704" s="24"/>
    </row>
    <row r="705">
      <c r="F705" s="23"/>
      <c r="G705" s="24"/>
    </row>
    <row r="706">
      <c r="F706" s="23"/>
      <c r="G706" s="24"/>
    </row>
    <row r="707">
      <c r="F707" s="23"/>
      <c r="G707" s="24"/>
    </row>
    <row r="708">
      <c r="F708" s="23"/>
      <c r="G708" s="24"/>
    </row>
    <row r="709">
      <c r="F709" s="23"/>
      <c r="G709" s="24"/>
    </row>
    <row r="710">
      <c r="F710" s="23"/>
      <c r="G710" s="24"/>
    </row>
    <row r="711">
      <c r="F711" s="23"/>
      <c r="G711" s="24"/>
    </row>
    <row r="712">
      <c r="F712" s="23"/>
      <c r="G712" s="24"/>
    </row>
    <row r="713">
      <c r="F713" s="23"/>
      <c r="G713" s="24"/>
    </row>
    <row r="714">
      <c r="F714" s="23"/>
      <c r="G714" s="24"/>
    </row>
    <row r="715">
      <c r="F715" s="23"/>
      <c r="G715" s="24"/>
    </row>
    <row r="716">
      <c r="F716" s="23"/>
      <c r="G716" s="24"/>
    </row>
    <row r="717">
      <c r="F717" s="23"/>
      <c r="G717" s="24"/>
    </row>
    <row r="718">
      <c r="F718" s="23"/>
      <c r="G718" s="24"/>
    </row>
    <row r="719">
      <c r="F719" s="23"/>
      <c r="G719" s="24"/>
    </row>
    <row r="720">
      <c r="F720" s="23"/>
      <c r="G720" s="24"/>
    </row>
    <row r="721">
      <c r="F721" s="23"/>
      <c r="G721" s="24"/>
    </row>
    <row r="722">
      <c r="F722" s="23"/>
      <c r="G722" s="24"/>
    </row>
    <row r="723">
      <c r="F723" s="23"/>
      <c r="G723" s="24"/>
    </row>
    <row r="724">
      <c r="F724" s="23"/>
      <c r="G724" s="24"/>
    </row>
    <row r="725">
      <c r="F725" s="23"/>
      <c r="G725" s="24"/>
    </row>
    <row r="726">
      <c r="F726" s="23"/>
      <c r="G726" s="24"/>
    </row>
    <row r="727">
      <c r="F727" s="23"/>
      <c r="G727" s="24"/>
    </row>
    <row r="728">
      <c r="F728" s="23"/>
      <c r="G728" s="24"/>
    </row>
    <row r="729">
      <c r="F729" s="23"/>
      <c r="G729" s="24"/>
    </row>
    <row r="730">
      <c r="F730" s="23"/>
      <c r="G730" s="24"/>
    </row>
    <row r="731">
      <c r="F731" s="23"/>
      <c r="G731" s="24"/>
    </row>
    <row r="732">
      <c r="F732" s="23"/>
      <c r="G732" s="24"/>
    </row>
    <row r="733">
      <c r="F733" s="23"/>
      <c r="G733" s="24"/>
    </row>
    <row r="734">
      <c r="F734" s="23"/>
      <c r="G734" s="24"/>
    </row>
    <row r="735">
      <c r="F735" s="23"/>
      <c r="G735" s="24"/>
    </row>
    <row r="736">
      <c r="F736" s="23"/>
      <c r="G736" s="24"/>
    </row>
    <row r="737">
      <c r="F737" s="23"/>
      <c r="G737" s="24"/>
    </row>
    <row r="738">
      <c r="F738" s="23"/>
      <c r="G738" s="24"/>
    </row>
    <row r="739">
      <c r="F739" s="23"/>
      <c r="G739" s="24"/>
    </row>
    <row r="740">
      <c r="F740" s="23"/>
      <c r="G740" s="24"/>
    </row>
    <row r="741">
      <c r="F741" s="23"/>
      <c r="G741" s="24"/>
    </row>
    <row r="742">
      <c r="F742" s="23"/>
      <c r="G742" s="24"/>
    </row>
    <row r="743">
      <c r="F743" s="23"/>
      <c r="G743" s="24"/>
    </row>
    <row r="744">
      <c r="F744" s="23"/>
      <c r="G744" s="24"/>
    </row>
    <row r="745">
      <c r="F745" s="23"/>
      <c r="G745" s="24"/>
    </row>
    <row r="746">
      <c r="F746" s="23"/>
      <c r="G746" s="24"/>
    </row>
    <row r="747">
      <c r="F747" s="23"/>
      <c r="G747" s="24"/>
    </row>
    <row r="748">
      <c r="F748" s="23"/>
      <c r="G748" s="24"/>
    </row>
    <row r="749">
      <c r="F749" s="23"/>
      <c r="G749" s="24"/>
    </row>
    <row r="750">
      <c r="F750" s="23"/>
      <c r="G750" s="24"/>
    </row>
    <row r="751">
      <c r="F751" s="23"/>
      <c r="G751" s="24"/>
    </row>
    <row r="752">
      <c r="F752" s="23"/>
      <c r="G752" s="24"/>
    </row>
    <row r="753">
      <c r="F753" s="23"/>
      <c r="G753" s="24"/>
    </row>
    <row r="754">
      <c r="F754" s="23"/>
      <c r="G754" s="24"/>
    </row>
    <row r="755">
      <c r="F755" s="23"/>
      <c r="G755" s="24"/>
    </row>
    <row r="756">
      <c r="F756" s="23"/>
      <c r="G756" s="24"/>
    </row>
    <row r="757">
      <c r="F757" s="23"/>
      <c r="G757" s="24"/>
    </row>
    <row r="758">
      <c r="F758" s="23"/>
      <c r="G758" s="24"/>
    </row>
    <row r="759">
      <c r="F759" s="23"/>
      <c r="G759" s="24"/>
    </row>
    <row r="760">
      <c r="F760" s="23"/>
      <c r="G760" s="24"/>
    </row>
    <row r="761">
      <c r="F761" s="23"/>
      <c r="G761" s="24"/>
    </row>
    <row r="762">
      <c r="F762" s="23"/>
      <c r="G762" s="24"/>
    </row>
    <row r="763">
      <c r="F763" s="23"/>
      <c r="G763" s="24"/>
    </row>
    <row r="764">
      <c r="F764" s="23"/>
      <c r="G764" s="24"/>
    </row>
    <row r="765">
      <c r="F765" s="23"/>
      <c r="G765" s="24"/>
    </row>
    <row r="766">
      <c r="F766" s="23"/>
      <c r="G766" s="24"/>
    </row>
    <row r="767">
      <c r="F767" s="23"/>
      <c r="G767" s="24"/>
    </row>
    <row r="768">
      <c r="F768" s="23"/>
      <c r="G768" s="24"/>
    </row>
    <row r="769">
      <c r="F769" s="23"/>
      <c r="G769" s="24"/>
    </row>
    <row r="770">
      <c r="F770" s="23"/>
      <c r="G770" s="24"/>
    </row>
    <row r="771">
      <c r="F771" s="23"/>
      <c r="G771" s="24"/>
    </row>
    <row r="772">
      <c r="F772" s="23"/>
      <c r="G772" s="24"/>
    </row>
    <row r="773">
      <c r="F773" s="23"/>
      <c r="G773" s="24"/>
    </row>
    <row r="774">
      <c r="F774" s="23"/>
      <c r="G774" s="24"/>
    </row>
    <row r="775">
      <c r="F775" s="23"/>
      <c r="G775" s="24"/>
    </row>
    <row r="776">
      <c r="F776" s="23"/>
      <c r="G776" s="24"/>
    </row>
    <row r="777">
      <c r="F777" s="23"/>
      <c r="G777" s="24"/>
    </row>
    <row r="778">
      <c r="F778" s="23"/>
      <c r="G778" s="24"/>
    </row>
    <row r="779">
      <c r="F779" s="23"/>
      <c r="G779" s="24"/>
    </row>
    <row r="780">
      <c r="F780" s="23"/>
      <c r="G780" s="24"/>
    </row>
    <row r="781">
      <c r="F781" s="23"/>
      <c r="G781" s="24"/>
    </row>
    <row r="782">
      <c r="F782" s="23"/>
      <c r="G782" s="24"/>
    </row>
    <row r="783">
      <c r="F783" s="23"/>
      <c r="G783" s="24"/>
    </row>
    <row r="784">
      <c r="F784" s="23"/>
      <c r="G784" s="24"/>
    </row>
    <row r="785">
      <c r="F785" s="23"/>
      <c r="G785" s="24"/>
    </row>
    <row r="786">
      <c r="F786" s="23"/>
      <c r="G786" s="24"/>
    </row>
    <row r="787">
      <c r="F787" s="23"/>
      <c r="G787" s="24"/>
    </row>
    <row r="788">
      <c r="F788" s="23"/>
      <c r="G788" s="24"/>
    </row>
    <row r="789">
      <c r="F789" s="23"/>
      <c r="G789" s="24"/>
    </row>
    <row r="790">
      <c r="F790" s="23"/>
      <c r="G790" s="24"/>
    </row>
    <row r="791">
      <c r="F791" s="23"/>
      <c r="G791" s="24"/>
    </row>
    <row r="792">
      <c r="F792" s="23"/>
      <c r="G792" s="24"/>
    </row>
    <row r="793">
      <c r="F793" s="23"/>
      <c r="G793" s="24"/>
    </row>
    <row r="794">
      <c r="F794" s="23"/>
      <c r="G794" s="24"/>
    </row>
    <row r="795">
      <c r="F795" s="23"/>
      <c r="G795" s="24"/>
    </row>
    <row r="796">
      <c r="F796" s="23"/>
      <c r="G796" s="24"/>
    </row>
    <row r="797">
      <c r="F797" s="23"/>
      <c r="G797" s="24"/>
    </row>
    <row r="798">
      <c r="F798" s="23"/>
      <c r="G798" s="24"/>
    </row>
    <row r="799">
      <c r="F799" s="23"/>
      <c r="G799" s="24"/>
    </row>
    <row r="800">
      <c r="F800" s="23"/>
      <c r="G800" s="24"/>
    </row>
    <row r="801">
      <c r="F801" s="23"/>
      <c r="G801" s="24"/>
    </row>
    <row r="802">
      <c r="F802" s="23"/>
      <c r="G802" s="24"/>
    </row>
    <row r="803">
      <c r="F803" s="23"/>
      <c r="G803" s="24"/>
    </row>
    <row r="804">
      <c r="F804" s="23"/>
      <c r="G804" s="24"/>
    </row>
    <row r="805">
      <c r="F805" s="23"/>
      <c r="G805" s="24"/>
    </row>
    <row r="806">
      <c r="F806" s="23"/>
      <c r="G806" s="24"/>
    </row>
    <row r="807">
      <c r="F807" s="23"/>
      <c r="G807" s="24"/>
    </row>
    <row r="808">
      <c r="F808" s="23"/>
      <c r="G808" s="24"/>
    </row>
    <row r="809">
      <c r="F809" s="23"/>
      <c r="G809" s="24"/>
    </row>
    <row r="810">
      <c r="F810" s="23"/>
      <c r="G810" s="24"/>
    </row>
    <row r="811">
      <c r="F811" s="23"/>
      <c r="G811" s="24"/>
    </row>
    <row r="812">
      <c r="F812" s="23"/>
      <c r="G812" s="24"/>
    </row>
    <row r="813">
      <c r="F813" s="23"/>
      <c r="G813" s="24"/>
    </row>
    <row r="814">
      <c r="F814" s="23"/>
      <c r="G814" s="24"/>
    </row>
    <row r="815">
      <c r="F815" s="23"/>
      <c r="G815" s="24"/>
    </row>
    <row r="816">
      <c r="F816" s="23"/>
      <c r="G816" s="24"/>
    </row>
    <row r="817">
      <c r="F817" s="23"/>
      <c r="G817" s="24"/>
    </row>
    <row r="818">
      <c r="F818" s="23"/>
      <c r="G818" s="24"/>
    </row>
    <row r="819">
      <c r="F819" s="23"/>
      <c r="G819" s="24"/>
    </row>
    <row r="820">
      <c r="F820" s="23"/>
      <c r="G820" s="24"/>
    </row>
    <row r="821">
      <c r="F821" s="23"/>
      <c r="G821" s="24"/>
    </row>
    <row r="822">
      <c r="F822" s="23"/>
      <c r="G822" s="24"/>
    </row>
    <row r="823">
      <c r="F823" s="23"/>
      <c r="G823" s="24"/>
    </row>
    <row r="824">
      <c r="F824" s="23"/>
      <c r="G824" s="24"/>
    </row>
    <row r="825">
      <c r="F825" s="23"/>
      <c r="G825" s="24"/>
    </row>
    <row r="826">
      <c r="F826" s="23"/>
      <c r="G826" s="24"/>
    </row>
    <row r="827">
      <c r="F827" s="23"/>
      <c r="G827" s="24"/>
    </row>
    <row r="828">
      <c r="F828" s="23"/>
      <c r="G828" s="24"/>
    </row>
    <row r="829">
      <c r="F829" s="23"/>
      <c r="G829" s="24"/>
    </row>
    <row r="830">
      <c r="F830" s="23"/>
      <c r="G830" s="24"/>
    </row>
    <row r="831">
      <c r="F831" s="23"/>
      <c r="G831" s="24"/>
    </row>
    <row r="832">
      <c r="F832" s="23"/>
      <c r="G832" s="24"/>
    </row>
    <row r="833">
      <c r="F833" s="23"/>
      <c r="G833" s="24"/>
    </row>
    <row r="834">
      <c r="F834" s="23"/>
      <c r="G834" s="24"/>
    </row>
    <row r="835">
      <c r="F835" s="23"/>
      <c r="G835" s="24"/>
    </row>
    <row r="836">
      <c r="F836" s="23"/>
      <c r="G836" s="24"/>
    </row>
    <row r="837">
      <c r="F837" s="23"/>
      <c r="G837" s="24"/>
    </row>
    <row r="838">
      <c r="F838" s="23"/>
      <c r="G838" s="24"/>
    </row>
    <row r="839">
      <c r="F839" s="23"/>
      <c r="G839" s="24"/>
    </row>
    <row r="840">
      <c r="F840" s="23"/>
      <c r="G840" s="24"/>
    </row>
    <row r="841">
      <c r="F841" s="23"/>
      <c r="G841" s="24"/>
    </row>
    <row r="842">
      <c r="F842" s="23"/>
      <c r="G842" s="24"/>
    </row>
    <row r="843">
      <c r="F843" s="23"/>
      <c r="G843" s="24"/>
    </row>
    <row r="844">
      <c r="F844" s="23"/>
      <c r="G844" s="24"/>
    </row>
    <row r="845">
      <c r="F845" s="23"/>
      <c r="G845" s="24"/>
    </row>
    <row r="846">
      <c r="F846" s="23"/>
      <c r="G846" s="24"/>
    </row>
    <row r="847">
      <c r="F847" s="23"/>
      <c r="G847" s="24"/>
    </row>
    <row r="848">
      <c r="F848" s="23"/>
      <c r="G848" s="24"/>
    </row>
    <row r="849">
      <c r="F849" s="23"/>
      <c r="G849" s="24"/>
    </row>
    <row r="850">
      <c r="F850" s="23"/>
      <c r="G850" s="24"/>
    </row>
    <row r="851">
      <c r="F851" s="23"/>
      <c r="G851" s="24"/>
    </row>
    <row r="852">
      <c r="F852" s="23"/>
      <c r="G852" s="24"/>
    </row>
    <row r="853">
      <c r="F853" s="23"/>
      <c r="G853" s="24"/>
    </row>
    <row r="854">
      <c r="F854" s="23"/>
      <c r="G854" s="24"/>
    </row>
    <row r="855">
      <c r="F855" s="23"/>
      <c r="G855" s="24"/>
    </row>
    <row r="856">
      <c r="F856" s="23"/>
      <c r="G856" s="24"/>
    </row>
    <row r="857">
      <c r="F857" s="23"/>
      <c r="G857" s="24"/>
    </row>
    <row r="858">
      <c r="F858" s="23"/>
      <c r="G858" s="24"/>
    </row>
    <row r="859">
      <c r="F859" s="23"/>
      <c r="G859" s="24"/>
    </row>
    <row r="860">
      <c r="F860" s="23"/>
      <c r="G860" s="24"/>
    </row>
    <row r="861">
      <c r="F861" s="23"/>
      <c r="G861" s="24"/>
    </row>
    <row r="862">
      <c r="F862" s="23"/>
      <c r="G862" s="24"/>
    </row>
    <row r="863">
      <c r="F863" s="23"/>
      <c r="G863" s="24"/>
    </row>
    <row r="864">
      <c r="F864" s="23"/>
      <c r="G864" s="24"/>
    </row>
    <row r="865">
      <c r="F865" s="23"/>
      <c r="G865" s="24"/>
    </row>
    <row r="866">
      <c r="F866" s="23"/>
      <c r="G866" s="24"/>
    </row>
    <row r="867">
      <c r="F867" s="23"/>
      <c r="G867" s="24"/>
    </row>
    <row r="868">
      <c r="F868" s="23"/>
      <c r="G868" s="24"/>
    </row>
    <row r="869">
      <c r="F869" s="23"/>
      <c r="G869" s="24"/>
    </row>
    <row r="870">
      <c r="F870" s="23"/>
      <c r="G870" s="24"/>
    </row>
    <row r="871">
      <c r="F871" s="23"/>
      <c r="G871" s="24"/>
    </row>
    <row r="872">
      <c r="F872" s="23"/>
      <c r="G872" s="24"/>
    </row>
    <row r="873">
      <c r="F873" s="23"/>
      <c r="G873" s="24"/>
    </row>
    <row r="874">
      <c r="F874" s="23"/>
      <c r="G874" s="24"/>
    </row>
    <row r="875">
      <c r="F875" s="23"/>
      <c r="G875" s="24"/>
    </row>
    <row r="876">
      <c r="F876" s="23"/>
      <c r="G876" s="24"/>
    </row>
    <row r="877">
      <c r="F877" s="23"/>
      <c r="G877" s="24"/>
    </row>
    <row r="878">
      <c r="F878" s="23"/>
      <c r="G878" s="24"/>
    </row>
    <row r="879">
      <c r="F879" s="23"/>
      <c r="G879" s="24"/>
    </row>
    <row r="880">
      <c r="F880" s="23"/>
      <c r="G880" s="24"/>
    </row>
    <row r="881">
      <c r="F881" s="23"/>
      <c r="G881" s="24"/>
    </row>
    <row r="882">
      <c r="F882" s="23"/>
      <c r="G882" s="24"/>
    </row>
    <row r="883">
      <c r="F883" s="23"/>
      <c r="G883" s="24"/>
    </row>
    <row r="884">
      <c r="F884" s="23"/>
      <c r="G884" s="24"/>
    </row>
    <row r="885">
      <c r="F885" s="23"/>
      <c r="G885" s="24"/>
    </row>
    <row r="886">
      <c r="F886" s="23"/>
      <c r="G886" s="24"/>
    </row>
    <row r="887">
      <c r="F887" s="23"/>
      <c r="G887" s="24"/>
    </row>
    <row r="888">
      <c r="F888" s="23"/>
      <c r="G888" s="24"/>
    </row>
    <row r="889">
      <c r="F889" s="23"/>
      <c r="G889" s="24"/>
    </row>
    <row r="890">
      <c r="F890" s="23"/>
      <c r="G890" s="24"/>
    </row>
    <row r="891">
      <c r="F891" s="23"/>
      <c r="G891" s="24"/>
    </row>
    <row r="892">
      <c r="F892" s="23"/>
      <c r="G892" s="24"/>
    </row>
    <row r="893">
      <c r="F893" s="23"/>
      <c r="G893" s="24"/>
    </row>
    <row r="894">
      <c r="F894" s="23"/>
      <c r="G894" s="24"/>
    </row>
    <row r="895">
      <c r="F895" s="23"/>
      <c r="G895" s="24"/>
    </row>
    <row r="896">
      <c r="F896" s="23"/>
      <c r="G896" s="24"/>
    </row>
    <row r="897">
      <c r="F897" s="23"/>
      <c r="G897" s="24"/>
    </row>
    <row r="898">
      <c r="F898" s="23"/>
      <c r="G898" s="24"/>
    </row>
    <row r="899">
      <c r="F899" s="23"/>
      <c r="G899" s="24"/>
    </row>
    <row r="900">
      <c r="F900" s="23"/>
      <c r="G900" s="24"/>
    </row>
    <row r="901">
      <c r="F901" s="23"/>
      <c r="G901" s="24"/>
    </row>
    <row r="902">
      <c r="F902" s="23"/>
      <c r="G902" s="24"/>
    </row>
    <row r="903">
      <c r="F903" s="23"/>
      <c r="G903" s="24"/>
    </row>
    <row r="904">
      <c r="F904" s="23"/>
      <c r="G904" s="24"/>
    </row>
    <row r="905">
      <c r="F905" s="23"/>
      <c r="G905" s="24"/>
    </row>
    <row r="906">
      <c r="F906" s="23"/>
      <c r="G906" s="24"/>
    </row>
    <row r="907">
      <c r="F907" s="23"/>
      <c r="G907" s="24"/>
    </row>
    <row r="908">
      <c r="F908" s="23"/>
      <c r="G908" s="24"/>
    </row>
    <row r="909">
      <c r="F909" s="23"/>
      <c r="G909" s="24"/>
    </row>
    <row r="910">
      <c r="F910" s="23"/>
      <c r="G910" s="24"/>
    </row>
    <row r="911">
      <c r="F911" s="23"/>
      <c r="G911" s="24"/>
    </row>
    <row r="912">
      <c r="F912" s="23"/>
      <c r="G912" s="24"/>
    </row>
    <row r="913">
      <c r="F913" s="23"/>
      <c r="G913" s="24"/>
    </row>
    <row r="914">
      <c r="F914" s="23"/>
      <c r="G914" s="24"/>
    </row>
    <row r="915">
      <c r="F915" s="23"/>
      <c r="G915" s="24"/>
    </row>
    <row r="916">
      <c r="F916" s="23"/>
      <c r="G916" s="24"/>
    </row>
    <row r="917">
      <c r="F917" s="23"/>
      <c r="G917" s="24"/>
    </row>
    <row r="918">
      <c r="F918" s="23"/>
      <c r="G918" s="24"/>
    </row>
    <row r="919">
      <c r="F919" s="23"/>
      <c r="G919" s="24"/>
    </row>
    <row r="920">
      <c r="F920" s="23"/>
      <c r="G920" s="24"/>
    </row>
    <row r="921">
      <c r="F921" s="23"/>
      <c r="G921" s="24"/>
    </row>
    <row r="922">
      <c r="F922" s="23"/>
      <c r="G922" s="24"/>
    </row>
    <row r="923">
      <c r="F923" s="23"/>
      <c r="G923" s="24"/>
    </row>
    <row r="924">
      <c r="F924" s="23"/>
      <c r="G924" s="24"/>
    </row>
    <row r="925">
      <c r="F925" s="23"/>
      <c r="G925" s="24"/>
    </row>
    <row r="926">
      <c r="F926" s="23"/>
      <c r="G926" s="24"/>
    </row>
    <row r="927">
      <c r="F927" s="23"/>
      <c r="G927" s="24"/>
    </row>
    <row r="928">
      <c r="F928" s="23"/>
      <c r="G928" s="24"/>
    </row>
    <row r="929">
      <c r="F929" s="23"/>
      <c r="G929" s="24"/>
    </row>
    <row r="930">
      <c r="F930" s="23"/>
      <c r="G930" s="24"/>
    </row>
    <row r="931">
      <c r="F931" s="23"/>
      <c r="G931" s="24"/>
    </row>
    <row r="932">
      <c r="F932" s="23"/>
      <c r="G932" s="24"/>
    </row>
    <row r="933">
      <c r="F933" s="23"/>
      <c r="G933" s="24"/>
    </row>
    <row r="934">
      <c r="F934" s="23"/>
      <c r="G934" s="24"/>
    </row>
    <row r="935">
      <c r="F935" s="23"/>
      <c r="G935" s="24"/>
    </row>
    <row r="936">
      <c r="F936" s="23"/>
      <c r="G936" s="24"/>
    </row>
    <row r="937">
      <c r="F937" s="23"/>
      <c r="G937" s="24"/>
    </row>
    <row r="938">
      <c r="F938" s="23"/>
      <c r="G938" s="24"/>
    </row>
    <row r="939">
      <c r="F939" s="23"/>
      <c r="G939" s="24"/>
    </row>
    <row r="940">
      <c r="F940" s="23"/>
      <c r="G940" s="24"/>
    </row>
    <row r="941">
      <c r="F941" s="23"/>
      <c r="G941" s="24"/>
    </row>
    <row r="942">
      <c r="F942" s="23"/>
      <c r="G942" s="24"/>
    </row>
    <row r="943">
      <c r="F943" s="23"/>
      <c r="G943" s="24"/>
    </row>
    <row r="944">
      <c r="F944" s="23"/>
      <c r="G944" s="24"/>
    </row>
    <row r="945">
      <c r="F945" s="23"/>
      <c r="G945" s="24"/>
    </row>
    <row r="946">
      <c r="F946" s="23"/>
      <c r="G946" s="24"/>
    </row>
    <row r="947">
      <c r="F947" s="23"/>
      <c r="G947" s="24"/>
    </row>
    <row r="948">
      <c r="F948" s="23"/>
      <c r="G948" s="24"/>
    </row>
    <row r="949">
      <c r="F949" s="23"/>
      <c r="G949" s="24"/>
    </row>
    <row r="950">
      <c r="F950" s="23"/>
      <c r="G950" s="24"/>
    </row>
    <row r="951">
      <c r="F951" s="23"/>
      <c r="G951" s="24"/>
    </row>
    <row r="952">
      <c r="F952" s="23"/>
      <c r="G952" s="24"/>
    </row>
    <row r="953">
      <c r="F953" s="23"/>
      <c r="G953" s="24"/>
    </row>
    <row r="954">
      <c r="F954" s="23"/>
      <c r="G954" s="24"/>
    </row>
    <row r="955">
      <c r="F955" s="23"/>
      <c r="G955" s="24"/>
    </row>
    <row r="956">
      <c r="F956" s="23"/>
      <c r="G956" s="24"/>
    </row>
    <row r="957">
      <c r="F957" s="23"/>
      <c r="G957" s="24"/>
    </row>
    <row r="958">
      <c r="F958" s="23"/>
      <c r="G958" s="24"/>
    </row>
    <row r="959">
      <c r="F959" s="23"/>
      <c r="G959" s="24"/>
    </row>
    <row r="960">
      <c r="F960" s="23"/>
      <c r="G960" s="24"/>
    </row>
    <row r="961">
      <c r="F961" s="23"/>
      <c r="G961" s="24"/>
    </row>
    <row r="962">
      <c r="F962" s="23"/>
      <c r="G962" s="24"/>
    </row>
    <row r="963">
      <c r="F963" s="23"/>
      <c r="G963" s="24"/>
    </row>
    <row r="964">
      <c r="F964" s="23"/>
      <c r="G964" s="24"/>
    </row>
    <row r="965">
      <c r="F965" s="23"/>
      <c r="G965" s="24"/>
    </row>
    <row r="966">
      <c r="F966" s="23"/>
      <c r="G966" s="24"/>
    </row>
    <row r="967">
      <c r="F967" s="23"/>
      <c r="G967" s="24"/>
    </row>
    <row r="968">
      <c r="F968" s="23"/>
      <c r="G968" s="24"/>
    </row>
    <row r="969">
      <c r="F969" s="23"/>
      <c r="G969" s="24"/>
    </row>
    <row r="970">
      <c r="F970" s="23"/>
      <c r="G970" s="24"/>
    </row>
    <row r="971">
      <c r="F971" s="23"/>
      <c r="G971" s="24"/>
    </row>
    <row r="972">
      <c r="F972" s="23"/>
      <c r="G972" s="24"/>
    </row>
    <row r="973">
      <c r="F973" s="23"/>
      <c r="G973" s="24"/>
    </row>
    <row r="974">
      <c r="F974" s="23"/>
      <c r="G974" s="24"/>
    </row>
    <row r="975">
      <c r="F975" s="23"/>
      <c r="G975" s="24"/>
    </row>
    <row r="976">
      <c r="F976" s="23"/>
      <c r="G976" s="24"/>
    </row>
    <row r="977">
      <c r="F977" s="23"/>
      <c r="G977" s="24"/>
    </row>
    <row r="978">
      <c r="F978" s="23"/>
      <c r="G978" s="24"/>
    </row>
    <row r="979">
      <c r="F979" s="23"/>
      <c r="G979" s="24"/>
    </row>
    <row r="980">
      <c r="F980" s="23"/>
      <c r="G980" s="24"/>
    </row>
    <row r="981">
      <c r="F981" s="23"/>
      <c r="G981" s="24"/>
    </row>
    <row r="982">
      <c r="F982" s="23"/>
      <c r="G982" s="24"/>
    </row>
    <row r="983">
      <c r="F983" s="23"/>
      <c r="G983" s="24"/>
    </row>
    <row r="984">
      <c r="F984" s="23"/>
      <c r="G984" s="24"/>
    </row>
    <row r="985">
      <c r="F985" s="23"/>
      <c r="G985" s="24"/>
    </row>
    <row r="986">
      <c r="F986" s="23"/>
      <c r="G986" s="24"/>
    </row>
    <row r="987">
      <c r="F987" s="23"/>
      <c r="G987" s="24"/>
    </row>
    <row r="988">
      <c r="F988" s="23"/>
      <c r="G988" s="24"/>
    </row>
    <row r="989">
      <c r="F989" s="23"/>
      <c r="G989" s="24"/>
    </row>
    <row r="990">
      <c r="F990" s="23"/>
      <c r="G990" s="24"/>
    </row>
    <row r="991">
      <c r="F991" s="23"/>
      <c r="G991" s="24"/>
    </row>
    <row r="992">
      <c r="F992" s="23"/>
      <c r="G992" s="24"/>
    </row>
    <row r="993">
      <c r="F993" s="23"/>
      <c r="G993" s="24"/>
    </row>
    <row r="994">
      <c r="F994" s="23"/>
      <c r="G994" s="24"/>
    </row>
    <row r="995">
      <c r="F995" s="23"/>
      <c r="G995" s="24"/>
    </row>
    <row r="996">
      <c r="F996" s="23"/>
      <c r="G996" s="24"/>
    </row>
    <row r="997">
      <c r="F997" s="23"/>
      <c r="G997" s="24"/>
    </row>
    <row r="998">
      <c r="F998" s="23"/>
      <c r="G998" s="24"/>
    </row>
    <row r="999">
      <c r="F999" s="23"/>
      <c r="G999" s="24"/>
    </row>
    <row r="1000">
      <c r="F1000" s="23"/>
      <c r="G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63"/>
    <col customWidth="1" min="3" max="3" width="21.25"/>
    <col customWidth="1" min="4" max="4" width="17.63"/>
    <col customWidth="1" min="5" max="5" width="19.25"/>
    <col customWidth="1" min="10" max="10" width="16.5"/>
  </cols>
  <sheetData>
    <row r="2">
      <c r="B2" s="2" t="s">
        <v>19</v>
      </c>
      <c r="C2" s="3" t="s">
        <v>26</v>
      </c>
      <c r="D2" s="3" t="s">
        <v>27</v>
      </c>
      <c r="E2" s="3" t="s">
        <v>28</v>
      </c>
      <c r="F2" s="3" t="s">
        <v>29</v>
      </c>
      <c r="G2" s="5" t="s">
        <v>30</v>
      </c>
    </row>
    <row r="3">
      <c r="B3" s="27">
        <f>Cashflows!B3</f>
        <v>1</v>
      </c>
      <c r="C3" s="28">
        <f>Cashflows!D3</f>
        <v>46113</v>
      </c>
      <c r="D3" s="24">
        <f>Cashflows!G3+Cashflows!H3</f>
        <v>31780.82192</v>
      </c>
      <c r="E3" s="23">
        <f>Cashflows!F3</f>
        <v>0.04383561644</v>
      </c>
      <c r="F3" s="29">
        <f>EXP(-Inputs!$E$3*E3)</f>
        <v>0.9968269626</v>
      </c>
      <c r="G3" s="30">
        <f t="shared" ref="G3:G99" si="1">F3*D3</f>
        <v>31679.98018</v>
      </c>
    </row>
    <row r="4">
      <c r="B4" s="27">
        <f>Cashflows!B4</f>
        <v>2</v>
      </c>
      <c r="C4" s="28">
        <f>Cashflows!D4</f>
        <v>46204</v>
      </c>
      <c r="D4" s="24">
        <f>Cashflows!G4+Cashflows!H4</f>
        <v>180753.4247</v>
      </c>
      <c r="E4" s="23">
        <f>Cashflows!F4</f>
        <v>0.2493150685</v>
      </c>
      <c r="F4" s="29">
        <f>EXP(-Inputs!$E$3*E4)</f>
        <v>0.9820870367</v>
      </c>
      <c r="G4" s="30">
        <f t="shared" si="1"/>
        <v>177515.5952</v>
      </c>
      <c r="I4" s="36" t="s">
        <v>31</v>
      </c>
      <c r="J4" s="37">
        <f>SUM(G3:G99)</f>
        <v>23212136.4</v>
      </c>
    </row>
    <row r="5">
      <c r="B5" s="27">
        <f>Cashflows!B5</f>
        <v>3</v>
      </c>
      <c r="C5" s="28">
        <f>Cashflows!D5</f>
        <v>46296</v>
      </c>
      <c r="D5" s="24">
        <f>Cashflows!G5+Cashflows!H5</f>
        <v>182739.726</v>
      </c>
      <c r="E5" s="23">
        <f>Cashflows!F5</f>
        <v>0.2520547945</v>
      </c>
      <c r="F5" s="29">
        <f>EXP(-Inputs!$E$3*E5)</f>
        <v>0.981891984</v>
      </c>
      <c r="G5" s="30">
        <f t="shared" si="1"/>
        <v>179430.6721</v>
      </c>
    </row>
    <row r="6">
      <c r="B6" s="27">
        <f>Cashflows!B6</f>
        <v>4</v>
      </c>
      <c r="C6" s="28">
        <f>Cashflows!D6</f>
        <v>46388</v>
      </c>
      <c r="D6" s="24">
        <f>Cashflows!G6+Cashflows!H6</f>
        <v>182739.726</v>
      </c>
      <c r="E6" s="23">
        <f>Cashflows!F6</f>
        <v>0.2520547945</v>
      </c>
      <c r="F6" s="29">
        <f>EXP(-Inputs!$E$3*E6)</f>
        <v>0.981891984</v>
      </c>
      <c r="G6" s="30">
        <f t="shared" si="1"/>
        <v>179430.6721</v>
      </c>
    </row>
    <row r="7">
      <c r="B7" s="27">
        <f>Cashflows!B7</f>
        <v>5</v>
      </c>
      <c r="C7" s="28">
        <f>Cashflows!D7</f>
        <v>46478</v>
      </c>
      <c r="D7" s="24">
        <f>Cashflows!G7+Cashflows!H7</f>
        <v>178767.1233</v>
      </c>
      <c r="E7" s="23">
        <f>Cashflows!F7</f>
        <v>0.2465753425</v>
      </c>
      <c r="F7" s="29">
        <f>EXP(-Inputs!$E$3*E7)</f>
        <v>0.9822821282</v>
      </c>
      <c r="G7" s="30">
        <f t="shared" si="1"/>
        <v>175599.7503</v>
      </c>
    </row>
    <row r="8">
      <c r="B8" s="27">
        <f>Cashflows!B8</f>
        <v>6</v>
      </c>
      <c r="C8" s="28">
        <f>Cashflows!D8</f>
        <v>46569</v>
      </c>
      <c r="D8" s="24">
        <f>Cashflows!G8+Cashflows!H8</f>
        <v>180753.4247</v>
      </c>
      <c r="E8" s="23">
        <f>Cashflows!F8</f>
        <v>0.2493150685</v>
      </c>
      <c r="F8" s="29">
        <f>EXP(-Inputs!$E$3*E8)</f>
        <v>0.9820870367</v>
      </c>
      <c r="G8" s="30">
        <f t="shared" si="1"/>
        <v>177515.5952</v>
      </c>
    </row>
    <row r="9">
      <c r="B9" s="27">
        <f>Cashflows!B9</f>
        <v>7</v>
      </c>
      <c r="C9" s="28">
        <f>Cashflows!D9</f>
        <v>46661</v>
      </c>
      <c r="D9" s="24">
        <f>Cashflows!G9+Cashflows!H9</f>
        <v>182739.726</v>
      </c>
      <c r="E9" s="23">
        <f>Cashflows!F9</f>
        <v>0.2520547945</v>
      </c>
      <c r="F9" s="29">
        <f>EXP(-Inputs!$E$3*E9)</f>
        <v>0.981891984</v>
      </c>
      <c r="G9" s="30">
        <f t="shared" si="1"/>
        <v>179430.6721</v>
      </c>
    </row>
    <row r="10">
      <c r="B10" s="27">
        <f>Cashflows!B10</f>
        <v>8</v>
      </c>
      <c r="C10" s="28">
        <f>Cashflows!D10</f>
        <v>46753</v>
      </c>
      <c r="D10" s="24">
        <f>Cashflows!G10+Cashflows!H10</f>
        <v>182739.726</v>
      </c>
      <c r="E10" s="23">
        <f>Cashflows!F10</f>
        <v>0.2520547945</v>
      </c>
      <c r="F10" s="29">
        <f>EXP(-Inputs!$E$3*E10)</f>
        <v>0.981891984</v>
      </c>
      <c r="G10" s="30">
        <f t="shared" si="1"/>
        <v>179430.6721</v>
      </c>
    </row>
    <row r="11">
      <c r="B11" s="27">
        <f>Cashflows!B11</f>
        <v>9</v>
      </c>
      <c r="C11" s="28">
        <f>Cashflows!D11</f>
        <v>46844</v>
      </c>
      <c r="D11" s="24">
        <f>Cashflows!G11+Cashflows!H11</f>
        <v>180753.4247</v>
      </c>
      <c r="E11" s="23">
        <f>Cashflows!F11</f>
        <v>0.2493150685</v>
      </c>
      <c r="F11" s="29">
        <f>EXP(-Inputs!$E$3*E11)</f>
        <v>0.9820870367</v>
      </c>
      <c r="G11" s="30">
        <f t="shared" si="1"/>
        <v>177515.5952</v>
      </c>
    </row>
    <row r="12">
      <c r="B12" s="27">
        <f>Cashflows!B12</f>
        <v>10</v>
      </c>
      <c r="C12" s="28">
        <f>Cashflows!D12</f>
        <v>46935</v>
      </c>
      <c r="D12" s="24">
        <f>Cashflows!G12+Cashflows!H12</f>
        <v>180753.4247</v>
      </c>
      <c r="E12" s="23">
        <f>Cashflows!F12</f>
        <v>0.2493150685</v>
      </c>
      <c r="F12" s="29">
        <f>EXP(-Inputs!$E$3*E12)</f>
        <v>0.9820870367</v>
      </c>
      <c r="G12" s="30">
        <f t="shared" si="1"/>
        <v>177515.5952</v>
      </c>
    </row>
    <row r="13">
      <c r="B13" s="27">
        <f>Cashflows!B13</f>
        <v>11</v>
      </c>
      <c r="C13" s="28">
        <f>Cashflows!D13</f>
        <v>47027</v>
      </c>
      <c r="D13" s="24">
        <f>Cashflows!G13+Cashflows!H13</f>
        <v>182739.726</v>
      </c>
      <c r="E13" s="23">
        <f>Cashflows!F13</f>
        <v>0.2520547945</v>
      </c>
      <c r="F13" s="29">
        <f>EXP(-Inputs!$E$3*E13)</f>
        <v>0.981891984</v>
      </c>
      <c r="G13" s="30">
        <f t="shared" si="1"/>
        <v>179430.6721</v>
      </c>
    </row>
    <row r="14">
      <c r="B14" s="27">
        <f>Cashflows!B14</f>
        <v>12</v>
      </c>
      <c r="C14" s="28">
        <f>Cashflows!D14</f>
        <v>47119</v>
      </c>
      <c r="D14" s="24">
        <f>Cashflows!G14+Cashflows!H14</f>
        <v>182739.726</v>
      </c>
      <c r="E14" s="23">
        <f>Cashflows!F14</f>
        <v>0.2520547945</v>
      </c>
      <c r="F14" s="29">
        <f>EXP(-Inputs!$E$3*E14)</f>
        <v>0.981891984</v>
      </c>
      <c r="G14" s="30">
        <f t="shared" si="1"/>
        <v>179430.6721</v>
      </c>
    </row>
    <row r="15">
      <c r="B15" s="27">
        <f>Cashflows!B15</f>
        <v>13</v>
      </c>
      <c r="C15" s="28">
        <f>Cashflows!D15</f>
        <v>47209</v>
      </c>
      <c r="D15" s="24">
        <f>Cashflows!G15+Cashflows!H15</f>
        <v>178767.1233</v>
      </c>
      <c r="E15" s="23">
        <f>Cashflows!F15</f>
        <v>0.2465753425</v>
      </c>
      <c r="F15" s="29">
        <f>EXP(-Inputs!$E$3*E15)</f>
        <v>0.9822821282</v>
      </c>
      <c r="G15" s="30">
        <f t="shared" si="1"/>
        <v>175599.7503</v>
      </c>
    </row>
    <row r="16">
      <c r="B16" s="27">
        <f>Cashflows!B16</f>
        <v>14</v>
      </c>
      <c r="C16" s="28">
        <f>Cashflows!D16</f>
        <v>47300</v>
      </c>
      <c r="D16" s="24">
        <f>Cashflows!G16+Cashflows!H16</f>
        <v>180753.4247</v>
      </c>
      <c r="E16" s="23">
        <f>Cashflows!F16</f>
        <v>0.2493150685</v>
      </c>
      <c r="F16" s="29">
        <f>EXP(-Inputs!$E$3*E16)</f>
        <v>0.9820870367</v>
      </c>
      <c r="G16" s="30">
        <f t="shared" si="1"/>
        <v>177515.5952</v>
      </c>
    </row>
    <row r="17">
      <c r="B17" s="27">
        <f>Cashflows!B17</f>
        <v>15</v>
      </c>
      <c r="C17" s="28">
        <f>Cashflows!D17</f>
        <v>47392</v>
      </c>
      <c r="D17" s="24">
        <f>Cashflows!G17+Cashflows!H17</f>
        <v>182739.726</v>
      </c>
      <c r="E17" s="23">
        <f>Cashflows!F17</f>
        <v>0.2520547945</v>
      </c>
      <c r="F17" s="29">
        <f>EXP(-Inputs!$E$3*E17)</f>
        <v>0.981891984</v>
      </c>
      <c r="G17" s="30">
        <f t="shared" si="1"/>
        <v>179430.6721</v>
      </c>
    </row>
    <row r="18">
      <c r="B18" s="27">
        <f>Cashflows!B18</f>
        <v>16</v>
      </c>
      <c r="C18" s="28">
        <f>Cashflows!D18</f>
        <v>47484</v>
      </c>
      <c r="D18" s="24">
        <f>Cashflows!G18+Cashflows!H18</f>
        <v>182739.726</v>
      </c>
      <c r="E18" s="23">
        <f>Cashflows!F18</f>
        <v>0.2520547945</v>
      </c>
      <c r="F18" s="29">
        <f>EXP(-Inputs!$E$3*E18)</f>
        <v>0.981891984</v>
      </c>
      <c r="G18" s="30">
        <f t="shared" si="1"/>
        <v>179430.6721</v>
      </c>
    </row>
    <row r="19">
      <c r="B19" s="27">
        <f>Cashflows!B19</f>
        <v>17</v>
      </c>
      <c r="C19" s="28">
        <f>Cashflows!D19</f>
        <v>47574</v>
      </c>
      <c r="D19" s="24">
        <f>Cashflows!G19+Cashflows!H19</f>
        <v>178767.1233</v>
      </c>
      <c r="E19" s="23">
        <f>Cashflows!F19</f>
        <v>0.2465753425</v>
      </c>
      <c r="F19" s="29">
        <f>EXP(-Inputs!$E$3*E19)</f>
        <v>0.9822821282</v>
      </c>
      <c r="G19" s="30">
        <f t="shared" si="1"/>
        <v>175599.7503</v>
      </c>
    </row>
    <row r="20">
      <c r="B20" s="27">
        <f>Cashflows!B20</f>
        <v>18</v>
      </c>
      <c r="C20" s="28">
        <f>Cashflows!D20</f>
        <v>47665</v>
      </c>
      <c r="D20" s="24">
        <f>Cashflows!G20+Cashflows!H20</f>
        <v>180753.4247</v>
      </c>
      <c r="E20" s="23">
        <f>Cashflows!F20</f>
        <v>0.2493150685</v>
      </c>
      <c r="F20" s="29">
        <f>EXP(-Inputs!$E$3*E20)</f>
        <v>0.9820870367</v>
      </c>
      <c r="G20" s="30">
        <f t="shared" si="1"/>
        <v>177515.5952</v>
      </c>
    </row>
    <row r="21">
      <c r="B21" s="27">
        <f>Cashflows!B21</f>
        <v>19</v>
      </c>
      <c r="C21" s="28">
        <f>Cashflows!D21</f>
        <v>47757</v>
      </c>
      <c r="D21" s="24">
        <f>Cashflows!G21+Cashflows!H21</f>
        <v>182739.726</v>
      </c>
      <c r="E21" s="23">
        <f>Cashflows!F21</f>
        <v>0.2520547945</v>
      </c>
      <c r="F21" s="29">
        <f>EXP(-Inputs!$E$3*E21)</f>
        <v>0.981891984</v>
      </c>
      <c r="G21" s="30">
        <f t="shared" si="1"/>
        <v>179430.6721</v>
      </c>
    </row>
    <row r="22">
      <c r="B22" s="27">
        <f>Cashflows!B22</f>
        <v>20</v>
      </c>
      <c r="C22" s="28">
        <f>Cashflows!D22</f>
        <v>47849</v>
      </c>
      <c r="D22" s="24">
        <f>Cashflows!G22+Cashflows!H22</f>
        <v>182739.726</v>
      </c>
      <c r="E22" s="23">
        <f>Cashflows!F22</f>
        <v>0.2520547945</v>
      </c>
      <c r="F22" s="29">
        <f>EXP(-Inputs!$E$3*E22)</f>
        <v>0.981891984</v>
      </c>
      <c r="G22" s="30">
        <f t="shared" si="1"/>
        <v>179430.6721</v>
      </c>
    </row>
    <row r="23">
      <c r="B23" s="27">
        <f>Cashflows!B23</f>
        <v>21</v>
      </c>
      <c r="C23" s="28">
        <f>Cashflows!D23</f>
        <v>47939</v>
      </c>
      <c r="D23" s="24">
        <f>Cashflows!G23+Cashflows!H23</f>
        <v>178767.1233</v>
      </c>
      <c r="E23" s="23">
        <f>Cashflows!F23</f>
        <v>0.2465753425</v>
      </c>
      <c r="F23" s="29">
        <f>EXP(-Inputs!$E$3*E23)</f>
        <v>0.9822821282</v>
      </c>
      <c r="G23" s="30">
        <f t="shared" si="1"/>
        <v>175599.7503</v>
      </c>
    </row>
    <row r="24">
      <c r="B24" s="27">
        <f>Cashflows!B24</f>
        <v>22</v>
      </c>
      <c r="C24" s="28">
        <f>Cashflows!D24</f>
        <v>48030</v>
      </c>
      <c r="D24" s="24">
        <f>Cashflows!G24+Cashflows!H24</f>
        <v>180753.4247</v>
      </c>
      <c r="E24" s="23">
        <f>Cashflows!F24</f>
        <v>0.2493150685</v>
      </c>
      <c r="F24" s="29">
        <f>EXP(-Inputs!$E$3*E24)</f>
        <v>0.9820870367</v>
      </c>
      <c r="G24" s="30">
        <f t="shared" si="1"/>
        <v>177515.5952</v>
      </c>
    </row>
    <row r="25">
      <c r="B25" s="27">
        <f>Cashflows!B25</f>
        <v>23</v>
      </c>
      <c r="C25" s="28">
        <f>Cashflows!D25</f>
        <v>48122</v>
      </c>
      <c r="D25" s="24">
        <f>Cashflows!G25+Cashflows!H25</f>
        <v>182739.726</v>
      </c>
      <c r="E25" s="23">
        <f>Cashflows!F25</f>
        <v>0.2520547945</v>
      </c>
      <c r="F25" s="29">
        <f>EXP(-Inputs!$E$3*E25)</f>
        <v>0.981891984</v>
      </c>
      <c r="G25" s="30">
        <f t="shared" si="1"/>
        <v>179430.6721</v>
      </c>
    </row>
    <row r="26">
      <c r="B26" s="27">
        <f>Cashflows!B26</f>
        <v>24</v>
      </c>
      <c r="C26" s="28">
        <f>Cashflows!D26</f>
        <v>48214</v>
      </c>
      <c r="D26" s="24">
        <f>Cashflows!G26+Cashflows!H26</f>
        <v>182739.726</v>
      </c>
      <c r="E26" s="23">
        <f>Cashflows!F26</f>
        <v>0.2520547945</v>
      </c>
      <c r="F26" s="29">
        <f>EXP(-Inputs!$E$3*E26)</f>
        <v>0.981891984</v>
      </c>
      <c r="G26" s="30">
        <f t="shared" si="1"/>
        <v>179430.6721</v>
      </c>
    </row>
    <row r="27">
      <c r="B27" s="27">
        <f>Cashflows!B27</f>
        <v>25</v>
      </c>
      <c r="C27" s="28">
        <f>Cashflows!D27</f>
        <v>48305</v>
      </c>
      <c r="D27" s="24">
        <f>Cashflows!G27+Cashflows!H27</f>
        <v>180753.4247</v>
      </c>
      <c r="E27" s="23">
        <f>Cashflows!F27</f>
        <v>0.2493150685</v>
      </c>
      <c r="F27" s="29">
        <f>EXP(-Inputs!$E$3*E27)</f>
        <v>0.9820870367</v>
      </c>
      <c r="G27" s="30">
        <f t="shared" si="1"/>
        <v>177515.5952</v>
      </c>
    </row>
    <row r="28">
      <c r="B28" s="27">
        <f>Cashflows!B28</f>
        <v>26</v>
      </c>
      <c r="C28" s="28">
        <f>Cashflows!D28</f>
        <v>48396</v>
      </c>
      <c r="D28" s="24">
        <f>Cashflows!G28+Cashflows!H28</f>
        <v>180753.4247</v>
      </c>
      <c r="E28" s="23">
        <f>Cashflows!F28</f>
        <v>0.2493150685</v>
      </c>
      <c r="F28" s="29">
        <f>EXP(-Inputs!$E$3*E28)</f>
        <v>0.9820870367</v>
      </c>
      <c r="G28" s="30">
        <f t="shared" si="1"/>
        <v>177515.5952</v>
      </c>
    </row>
    <row r="29">
      <c r="B29" s="27">
        <f>Cashflows!B29</f>
        <v>27</v>
      </c>
      <c r="C29" s="28">
        <f>Cashflows!D29</f>
        <v>48488</v>
      </c>
      <c r="D29" s="24">
        <f>Cashflows!G29+Cashflows!H29</f>
        <v>182739.726</v>
      </c>
      <c r="E29" s="23">
        <f>Cashflows!F29</f>
        <v>0.2520547945</v>
      </c>
      <c r="F29" s="29">
        <f>EXP(-Inputs!$E$3*E29)</f>
        <v>0.981891984</v>
      </c>
      <c r="G29" s="30">
        <f t="shared" si="1"/>
        <v>179430.6721</v>
      </c>
    </row>
    <row r="30">
      <c r="B30" s="27">
        <f>Cashflows!B30</f>
        <v>28</v>
      </c>
      <c r="C30" s="28">
        <f>Cashflows!D30</f>
        <v>48580</v>
      </c>
      <c r="D30" s="24">
        <f>Cashflows!G30+Cashflows!H30</f>
        <v>182739.726</v>
      </c>
      <c r="E30" s="23">
        <f>Cashflows!F30</f>
        <v>0.2520547945</v>
      </c>
      <c r="F30" s="29">
        <f>EXP(-Inputs!$E$3*E30)</f>
        <v>0.981891984</v>
      </c>
      <c r="G30" s="30">
        <f t="shared" si="1"/>
        <v>179430.6721</v>
      </c>
    </row>
    <row r="31">
      <c r="B31" s="27">
        <f>Cashflows!B31</f>
        <v>29</v>
      </c>
      <c r="C31" s="28">
        <f>Cashflows!D31</f>
        <v>48670</v>
      </c>
      <c r="D31" s="24">
        <f>Cashflows!G31+Cashflows!H31</f>
        <v>178767.1233</v>
      </c>
      <c r="E31" s="23">
        <f>Cashflows!F31</f>
        <v>0.2465753425</v>
      </c>
      <c r="F31" s="29">
        <f>EXP(-Inputs!$E$3*E31)</f>
        <v>0.9822821282</v>
      </c>
      <c r="G31" s="30">
        <f t="shared" si="1"/>
        <v>175599.7503</v>
      </c>
    </row>
    <row r="32">
      <c r="B32" s="27">
        <f>Cashflows!B32</f>
        <v>30</v>
      </c>
      <c r="C32" s="28">
        <f>Cashflows!D32</f>
        <v>48761</v>
      </c>
      <c r="D32" s="24">
        <f>Cashflows!G32+Cashflows!H32</f>
        <v>180753.4247</v>
      </c>
      <c r="E32" s="23">
        <f>Cashflows!F32</f>
        <v>0.2493150685</v>
      </c>
      <c r="F32" s="29">
        <f>EXP(-Inputs!$E$3*E32)</f>
        <v>0.9820870367</v>
      </c>
      <c r="G32" s="30">
        <f t="shared" si="1"/>
        <v>177515.5952</v>
      </c>
    </row>
    <row r="33">
      <c r="B33" s="27">
        <f>Cashflows!B33</f>
        <v>31</v>
      </c>
      <c r="C33" s="28">
        <f>Cashflows!D33</f>
        <v>48853</v>
      </c>
      <c r="D33" s="24">
        <f>Cashflows!G33+Cashflows!H33</f>
        <v>182739.726</v>
      </c>
      <c r="E33" s="23">
        <f>Cashflows!F33</f>
        <v>0.2520547945</v>
      </c>
      <c r="F33" s="29">
        <f>EXP(-Inputs!$E$3*E33)</f>
        <v>0.981891984</v>
      </c>
      <c r="G33" s="30">
        <f t="shared" si="1"/>
        <v>179430.6721</v>
      </c>
    </row>
    <row r="34">
      <c r="B34" s="27">
        <f>Cashflows!B34</f>
        <v>32</v>
      </c>
      <c r="C34" s="28">
        <f>Cashflows!D34</f>
        <v>48945</v>
      </c>
      <c r="D34" s="24">
        <f>Cashflows!G34+Cashflows!H34</f>
        <v>182739.726</v>
      </c>
      <c r="E34" s="23">
        <f>Cashflows!F34</f>
        <v>0.2520547945</v>
      </c>
      <c r="F34" s="29">
        <f>EXP(-Inputs!$E$3*E34)</f>
        <v>0.981891984</v>
      </c>
      <c r="G34" s="30">
        <f t="shared" si="1"/>
        <v>179430.6721</v>
      </c>
    </row>
    <row r="35">
      <c r="B35" s="27">
        <f>Cashflows!B35</f>
        <v>33</v>
      </c>
      <c r="C35" s="28">
        <f>Cashflows!D35</f>
        <v>49035</v>
      </c>
      <c r="D35" s="24">
        <f>Cashflows!G35+Cashflows!H35</f>
        <v>178767.1233</v>
      </c>
      <c r="E35" s="23">
        <f>Cashflows!F35</f>
        <v>0.2465753425</v>
      </c>
      <c r="F35" s="29">
        <f>EXP(-Inputs!$E$3*E35)</f>
        <v>0.9822821282</v>
      </c>
      <c r="G35" s="30">
        <f t="shared" si="1"/>
        <v>175599.7503</v>
      </c>
    </row>
    <row r="36">
      <c r="B36" s="27">
        <f>Cashflows!B36</f>
        <v>34</v>
      </c>
      <c r="C36" s="28">
        <f>Cashflows!D36</f>
        <v>49126</v>
      </c>
      <c r="D36" s="24">
        <f>Cashflows!G36+Cashflows!H36</f>
        <v>180753.4247</v>
      </c>
      <c r="E36" s="23">
        <f>Cashflows!F36</f>
        <v>0.2493150685</v>
      </c>
      <c r="F36" s="29">
        <f>EXP(-Inputs!$E$3*E36)</f>
        <v>0.9820870367</v>
      </c>
      <c r="G36" s="30">
        <f t="shared" si="1"/>
        <v>177515.5952</v>
      </c>
    </row>
    <row r="37">
      <c r="B37" s="27">
        <f>Cashflows!B37</f>
        <v>35</v>
      </c>
      <c r="C37" s="28">
        <f>Cashflows!D37</f>
        <v>49218</v>
      </c>
      <c r="D37" s="24">
        <f>Cashflows!G37+Cashflows!H37</f>
        <v>182739.726</v>
      </c>
      <c r="E37" s="23">
        <f>Cashflows!F37</f>
        <v>0.2520547945</v>
      </c>
      <c r="F37" s="29">
        <f>EXP(-Inputs!$E$3*E37)</f>
        <v>0.981891984</v>
      </c>
      <c r="G37" s="30">
        <f t="shared" si="1"/>
        <v>179430.6721</v>
      </c>
    </row>
    <row r="38">
      <c r="B38" s="27">
        <f>Cashflows!B38</f>
        <v>36</v>
      </c>
      <c r="C38" s="28">
        <f>Cashflows!D38</f>
        <v>49310</v>
      </c>
      <c r="D38" s="24">
        <f>Cashflows!G38+Cashflows!H38</f>
        <v>182739.726</v>
      </c>
      <c r="E38" s="23">
        <f>Cashflows!F38</f>
        <v>0.2520547945</v>
      </c>
      <c r="F38" s="29">
        <f>EXP(-Inputs!$E$3*E38)</f>
        <v>0.981891984</v>
      </c>
      <c r="G38" s="30">
        <f t="shared" si="1"/>
        <v>179430.6721</v>
      </c>
    </row>
    <row r="39">
      <c r="B39" s="27">
        <f>Cashflows!B39</f>
        <v>37</v>
      </c>
      <c r="C39" s="28">
        <f>Cashflows!D39</f>
        <v>49400</v>
      </c>
      <c r="D39" s="24">
        <f>Cashflows!G39+Cashflows!H39</f>
        <v>178767.1233</v>
      </c>
      <c r="E39" s="23">
        <f>Cashflows!F39</f>
        <v>0.2465753425</v>
      </c>
      <c r="F39" s="29">
        <f>EXP(-Inputs!$E$3*E39)</f>
        <v>0.9822821282</v>
      </c>
      <c r="G39" s="30">
        <f t="shared" si="1"/>
        <v>175599.7503</v>
      </c>
    </row>
    <row r="40">
      <c r="B40" s="27">
        <f>Cashflows!B40</f>
        <v>38</v>
      </c>
      <c r="C40" s="28">
        <f>Cashflows!D40</f>
        <v>49491</v>
      </c>
      <c r="D40" s="24">
        <f>Cashflows!G40+Cashflows!H40</f>
        <v>180753.4247</v>
      </c>
      <c r="E40" s="23">
        <f>Cashflows!F40</f>
        <v>0.2493150685</v>
      </c>
      <c r="F40" s="29">
        <f>EXP(-Inputs!$E$3*E40)</f>
        <v>0.9820870367</v>
      </c>
      <c r="G40" s="30">
        <f t="shared" si="1"/>
        <v>177515.5952</v>
      </c>
    </row>
    <row r="41">
      <c r="B41" s="27">
        <f>Cashflows!B41</f>
        <v>39</v>
      </c>
      <c r="C41" s="28">
        <f>Cashflows!D41</f>
        <v>49583</v>
      </c>
      <c r="D41" s="24">
        <f>Cashflows!G41+Cashflows!H41</f>
        <v>182739.726</v>
      </c>
      <c r="E41" s="23">
        <f>Cashflows!F41</f>
        <v>0.2520547945</v>
      </c>
      <c r="F41" s="29">
        <f>EXP(-Inputs!$E$3*E41)</f>
        <v>0.981891984</v>
      </c>
      <c r="G41" s="30">
        <f t="shared" si="1"/>
        <v>179430.6721</v>
      </c>
    </row>
    <row r="42">
      <c r="B42" s="27">
        <f>Cashflows!B42</f>
        <v>40</v>
      </c>
      <c r="C42" s="28">
        <f>Cashflows!D42</f>
        <v>49675</v>
      </c>
      <c r="D42" s="24">
        <f>Cashflows!G42+Cashflows!H42</f>
        <v>182739.726</v>
      </c>
      <c r="E42" s="23">
        <f>Cashflows!F42</f>
        <v>0.2520547945</v>
      </c>
      <c r="F42" s="29">
        <f>EXP(-Inputs!$E$3*E42)</f>
        <v>0.981891984</v>
      </c>
      <c r="G42" s="30">
        <f t="shared" si="1"/>
        <v>179430.6721</v>
      </c>
    </row>
    <row r="43">
      <c r="B43" s="27">
        <f>Cashflows!B43</f>
        <v>41</v>
      </c>
      <c r="C43" s="28">
        <f>Cashflows!D43</f>
        <v>49766</v>
      </c>
      <c r="D43" s="24">
        <f>Cashflows!G43+Cashflows!H43</f>
        <v>180753.4247</v>
      </c>
      <c r="E43" s="23">
        <f>Cashflows!F43</f>
        <v>0.2493150685</v>
      </c>
      <c r="F43" s="29">
        <f>EXP(-Inputs!$E$3*E43)</f>
        <v>0.9820870367</v>
      </c>
      <c r="G43" s="30">
        <f t="shared" si="1"/>
        <v>177515.5952</v>
      </c>
    </row>
    <row r="44">
      <c r="B44" s="27">
        <f>Cashflows!B44</f>
        <v>42</v>
      </c>
      <c r="C44" s="28">
        <f>Cashflows!D44</f>
        <v>49857</v>
      </c>
      <c r="D44" s="24">
        <f>Cashflows!G44+Cashflows!H44</f>
        <v>180753.4247</v>
      </c>
      <c r="E44" s="23">
        <f>Cashflows!F44</f>
        <v>0.2493150685</v>
      </c>
      <c r="F44" s="29">
        <f>EXP(-Inputs!$E$3*E44)</f>
        <v>0.9820870367</v>
      </c>
      <c r="G44" s="30">
        <f t="shared" si="1"/>
        <v>177515.5952</v>
      </c>
    </row>
    <row r="45">
      <c r="B45" s="27">
        <f>Cashflows!B45</f>
        <v>43</v>
      </c>
      <c r="C45" s="28">
        <f>Cashflows!D45</f>
        <v>49949</v>
      </c>
      <c r="D45" s="24">
        <f>Cashflows!G45+Cashflows!H45</f>
        <v>182739.726</v>
      </c>
      <c r="E45" s="23">
        <f>Cashflows!F45</f>
        <v>0.2520547945</v>
      </c>
      <c r="F45" s="29">
        <f>EXP(-Inputs!$E$3*E45)</f>
        <v>0.981891984</v>
      </c>
      <c r="G45" s="30">
        <f t="shared" si="1"/>
        <v>179430.6721</v>
      </c>
    </row>
    <row r="46">
      <c r="B46" s="27">
        <f>Cashflows!B46</f>
        <v>44</v>
      </c>
      <c r="C46" s="28">
        <f>Cashflows!D46</f>
        <v>50041</v>
      </c>
      <c r="D46" s="24">
        <f>Cashflows!G46+Cashflows!H46</f>
        <v>182739.726</v>
      </c>
      <c r="E46" s="23">
        <f>Cashflows!F46</f>
        <v>0.2520547945</v>
      </c>
      <c r="F46" s="29">
        <f>EXP(-Inputs!$E$3*E46)</f>
        <v>0.981891984</v>
      </c>
      <c r="G46" s="30">
        <f t="shared" si="1"/>
        <v>179430.6721</v>
      </c>
    </row>
    <row r="47">
      <c r="B47" s="27">
        <f>Cashflows!B47</f>
        <v>45</v>
      </c>
      <c r="C47" s="28">
        <f>Cashflows!D47</f>
        <v>50131</v>
      </c>
      <c r="D47" s="24">
        <f>Cashflows!G47+Cashflows!H47</f>
        <v>178767.1233</v>
      </c>
      <c r="E47" s="23">
        <f>Cashflows!F47</f>
        <v>0.2465753425</v>
      </c>
      <c r="F47" s="29">
        <f>EXP(-Inputs!$E$3*E47)</f>
        <v>0.9822821282</v>
      </c>
      <c r="G47" s="30">
        <f t="shared" si="1"/>
        <v>175599.7503</v>
      </c>
    </row>
    <row r="48">
      <c r="B48" s="27">
        <f>Cashflows!B48</f>
        <v>46</v>
      </c>
      <c r="C48" s="28">
        <f>Cashflows!D48</f>
        <v>50222</v>
      </c>
      <c r="D48" s="24">
        <f>Cashflows!G48+Cashflows!H48</f>
        <v>180753.4247</v>
      </c>
      <c r="E48" s="23">
        <f>Cashflows!F48</f>
        <v>0.2493150685</v>
      </c>
      <c r="F48" s="29">
        <f>EXP(-Inputs!$E$3*E48)</f>
        <v>0.9820870367</v>
      </c>
      <c r="G48" s="30">
        <f t="shared" si="1"/>
        <v>177515.5952</v>
      </c>
    </row>
    <row r="49">
      <c r="B49" s="27">
        <f>Cashflows!B49</f>
        <v>47</v>
      </c>
      <c r="C49" s="28">
        <f>Cashflows!D49</f>
        <v>50314</v>
      </c>
      <c r="D49" s="24">
        <f>Cashflows!G49+Cashflows!H49</f>
        <v>182739.726</v>
      </c>
      <c r="E49" s="23">
        <f>Cashflows!F49</f>
        <v>0.2520547945</v>
      </c>
      <c r="F49" s="29">
        <f>EXP(-Inputs!$E$3*E49)</f>
        <v>0.981891984</v>
      </c>
      <c r="G49" s="30">
        <f t="shared" si="1"/>
        <v>179430.6721</v>
      </c>
    </row>
    <row r="50">
      <c r="B50" s="27">
        <f>Cashflows!B50</f>
        <v>48</v>
      </c>
      <c r="C50" s="28">
        <f>Cashflows!D50</f>
        <v>50406</v>
      </c>
      <c r="D50" s="24">
        <f>Cashflows!G50+Cashflows!H50</f>
        <v>182739.726</v>
      </c>
      <c r="E50" s="23">
        <f>Cashflows!F50</f>
        <v>0.2520547945</v>
      </c>
      <c r="F50" s="29">
        <f>EXP(-Inputs!$E$3*E50)</f>
        <v>0.981891984</v>
      </c>
      <c r="G50" s="30">
        <f t="shared" si="1"/>
        <v>179430.6721</v>
      </c>
    </row>
    <row r="51">
      <c r="B51" s="27">
        <f>Cashflows!B51</f>
        <v>49</v>
      </c>
      <c r="C51" s="28">
        <f>Cashflows!D51</f>
        <v>50496</v>
      </c>
      <c r="D51" s="24">
        <f>Cashflows!G51+Cashflows!H51</f>
        <v>178767.1233</v>
      </c>
      <c r="E51" s="23">
        <f>Cashflows!F51</f>
        <v>0.2465753425</v>
      </c>
      <c r="F51" s="29">
        <f>EXP(-Inputs!$E$3*E51)</f>
        <v>0.9822821282</v>
      </c>
      <c r="G51" s="30">
        <f t="shared" si="1"/>
        <v>175599.7503</v>
      </c>
    </row>
    <row r="52">
      <c r="B52" s="27">
        <f>Cashflows!B52</f>
        <v>50</v>
      </c>
      <c r="C52" s="28">
        <f>Cashflows!D52</f>
        <v>50587</v>
      </c>
      <c r="D52" s="24">
        <f>Cashflows!G52+Cashflows!H52</f>
        <v>180753.4247</v>
      </c>
      <c r="E52" s="23">
        <f>Cashflows!F52</f>
        <v>0.2493150685</v>
      </c>
      <c r="F52" s="29">
        <f>EXP(-Inputs!$E$3*E52)</f>
        <v>0.9820870367</v>
      </c>
      <c r="G52" s="30">
        <f t="shared" si="1"/>
        <v>177515.5952</v>
      </c>
    </row>
    <row r="53">
      <c r="B53" s="27">
        <f>Cashflows!B53</f>
        <v>51</v>
      </c>
      <c r="C53" s="28">
        <f>Cashflows!D53</f>
        <v>50679</v>
      </c>
      <c r="D53" s="24">
        <f>Cashflows!G53+Cashflows!H53</f>
        <v>182739.726</v>
      </c>
      <c r="E53" s="23">
        <f>Cashflows!F53</f>
        <v>0.2520547945</v>
      </c>
      <c r="F53" s="29">
        <f>EXP(-Inputs!$E$3*E53)</f>
        <v>0.981891984</v>
      </c>
      <c r="G53" s="30">
        <f t="shared" si="1"/>
        <v>179430.6721</v>
      </c>
    </row>
    <row r="54">
      <c r="B54" s="27">
        <f>Cashflows!B54</f>
        <v>52</v>
      </c>
      <c r="C54" s="28">
        <f>Cashflows!D54</f>
        <v>50771</v>
      </c>
      <c r="D54" s="24">
        <f>Cashflows!G54+Cashflows!H54</f>
        <v>182739.726</v>
      </c>
      <c r="E54" s="23">
        <f>Cashflows!F54</f>
        <v>0.2520547945</v>
      </c>
      <c r="F54" s="29">
        <f>EXP(-Inputs!$E$3*E54)</f>
        <v>0.981891984</v>
      </c>
      <c r="G54" s="30">
        <f t="shared" si="1"/>
        <v>179430.6721</v>
      </c>
    </row>
    <row r="55">
      <c r="B55" s="27">
        <f>Cashflows!B55</f>
        <v>53</v>
      </c>
      <c r="C55" s="28">
        <f>Cashflows!D55</f>
        <v>50861</v>
      </c>
      <c r="D55" s="24">
        <f>Cashflows!G55+Cashflows!H55</f>
        <v>178767.1233</v>
      </c>
      <c r="E55" s="23">
        <f>Cashflows!F55</f>
        <v>0.2465753425</v>
      </c>
      <c r="F55" s="29">
        <f>EXP(-Inputs!$E$3*E55)</f>
        <v>0.9822821282</v>
      </c>
      <c r="G55" s="30">
        <f t="shared" si="1"/>
        <v>175599.7503</v>
      </c>
    </row>
    <row r="56">
      <c r="B56" s="27">
        <f>Cashflows!B56</f>
        <v>54</v>
      </c>
      <c r="C56" s="28">
        <f>Cashflows!D56</f>
        <v>50952</v>
      </c>
      <c r="D56" s="24">
        <f>Cashflows!G56+Cashflows!H56</f>
        <v>180753.4247</v>
      </c>
      <c r="E56" s="23">
        <f>Cashflows!F56</f>
        <v>0.2493150685</v>
      </c>
      <c r="F56" s="29">
        <f>EXP(-Inputs!$E$3*E56)</f>
        <v>0.9820870367</v>
      </c>
      <c r="G56" s="30">
        <f t="shared" si="1"/>
        <v>177515.5952</v>
      </c>
    </row>
    <row r="57">
      <c r="B57" s="27">
        <f>Cashflows!B57</f>
        <v>55</v>
      </c>
      <c r="C57" s="28">
        <f>Cashflows!D57</f>
        <v>51044</v>
      </c>
      <c r="D57" s="24">
        <f>Cashflows!G57+Cashflows!H57</f>
        <v>182739.726</v>
      </c>
      <c r="E57" s="23">
        <f>Cashflows!F57</f>
        <v>0.2520547945</v>
      </c>
      <c r="F57" s="29">
        <f>EXP(-Inputs!$E$3*E57)</f>
        <v>0.981891984</v>
      </c>
      <c r="G57" s="30">
        <f t="shared" si="1"/>
        <v>179430.6721</v>
      </c>
    </row>
    <row r="58">
      <c r="B58" s="27">
        <f>Cashflows!B58</f>
        <v>56</v>
      </c>
      <c r="C58" s="28">
        <f>Cashflows!D58</f>
        <v>51136</v>
      </c>
      <c r="D58" s="24">
        <f>Cashflows!G58+Cashflows!H58</f>
        <v>182739.726</v>
      </c>
      <c r="E58" s="23">
        <f>Cashflows!F58</f>
        <v>0.2520547945</v>
      </c>
      <c r="F58" s="29">
        <f>EXP(-Inputs!$E$3*E58)</f>
        <v>0.981891984</v>
      </c>
      <c r="G58" s="30">
        <f t="shared" si="1"/>
        <v>179430.6721</v>
      </c>
    </row>
    <row r="59">
      <c r="B59" s="27">
        <f>Cashflows!B59</f>
        <v>57</v>
      </c>
      <c r="C59" s="28">
        <f>Cashflows!D59</f>
        <v>51227</v>
      </c>
      <c r="D59" s="24">
        <f>Cashflows!G59+Cashflows!H59</f>
        <v>180753.4247</v>
      </c>
      <c r="E59" s="23">
        <f>Cashflows!F59</f>
        <v>0.2493150685</v>
      </c>
      <c r="F59" s="29">
        <f>EXP(-Inputs!$E$3*E59)</f>
        <v>0.9820870367</v>
      </c>
      <c r="G59" s="30">
        <f t="shared" si="1"/>
        <v>177515.5952</v>
      </c>
    </row>
    <row r="60">
      <c r="B60" s="27">
        <f>Cashflows!B60</f>
        <v>58</v>
      </c>
      <c r="C60" s="28">
        <f>Cashflows!D60</f>
        <v>51318</v>
      </c>
      <c r="D60" s="24">
        <f>Cashflows!G60+Cashflows!H60</f>
        <v>180753.4247</v>
      </c>
      <c r="E60" s="23">
        <f>Cashflows!F60</f>
        <v>0.2493150685</v>
      </c>
      <c r="F60" s="29">
        <f>EXP(-Inputs!$E$3*E60)</f>
        <v>0.9820870367</v>
      </c>
      <c r="G60" s="30">
        <f t="shared" si="1"/>
        <v>177515.5952</v>
      </c>
    </row>
    <row r="61">
      <c r="B61" s="27">
        <f>Cashflows!B61</f>
        <v>59</v>
      </c>
      <c r="C61" s="28">
        <f>Cashflows!D61</f>
        <v>51410</v>
      </c>
      <c r="D61" s="24">
        <f>Cashflows!G61+Cashflows!H61</f>
        <v>182739.726</v>
      </c>
      <c r="E61" s="23">
        <f>Cashflows!F61</f>
        <v>0.2520547945</v>
      </c>
      <c r="F61" s="29">
        <f>EXP(-Inputs!$E$3*E61)</f>
        <v>0.981891984</v>
      </c>
      <c r="G61" s="30">
        <f t="shared" si="1"/>
        <v>179430.6721</v>
      </c>
    </row>
    <row r="62">
      <c r="B62" s="27">
        <f>Cashflows!B62</f>
        <v>60</v>
      </c>
      <c r="C62" s="28">
        <f>Cashflows!D62</f>
        <v>51502</v>
      </c>
      <c r="D62" s="24">
        <f>Cashflows!G62+Cashflows!H62</f>
        <v>182739.726</v>
      </c>
      <c r="E62" s="23">
        <f>Cashflows!F62</f>
        <v>0.2520547945</v>
      </c>
      <c r="F62" s="29">
        <f>EXP(-Inputs!$E$3*E62)</f>
        <v>0.981891984</v>
      </c>
      <c r="G62" s="30">
        <f t="shared" si="1"/>
        <v>179430.6721</v>
      </c>
    </row>
    <row r="63">
      <c r="B63" s="27">
        <f>Cashflows!B63</f>
        <v>61</v>
      </c>
      <c r="C63" s="28">
        <f>Cashflows!D63</f>
        <v>51592</v>
      </c>
      <c r="D63" s="24">
        <f>Cashflows!G63+Cashflows!H63</f>
        <v>178767.1233</v>
      </c>
      <c r="E63" s="23">
        <f>Cashflows!F63</f>
        <v>0.2465753425</v>
      </c>
      <c r="F63" s="29">
        <f>EXP(-Inputs!$E$3*E63)</f>
        <v>0.9822821282</v>
      </c>
      <c r="G63" s="30">
        <f t="shared" si="1"/>
        <v>175599.7503</v>
      </c>
    </row>
    <row r="64">
      <c r="B64" s="27">
        <f>Cashflows!B64</f>
        <v>62</v>
      </c>
      <c r="C64" s="28">
        <f>Cashflows!D64</f>
        <v>51683</v>
      </c>
      <c r="D64" s="24">
        <f>Cashflows!G64+Cashflows!H64</f>
        <v>180753.4247</v>
      </c>
      <c r="E64" s="23">
        <f>Cashflows!F64</f>
        <v>0.2493150685</v>
      </c>
      <c r="F64" s="29">
        <f>EXP(-Inputs!$E$3*E64)</f>
        <v>0.9820870367</v>
      </c>
      <c r="G64" s="30">
        <f t="shared" si="1"/>
        <v>177515.5952</v>
      </c>
    </row>
    <row r="65">
      <c r="B65" s="27">
        <f>Cashflows!B65</f>
        <v>63</v>
      </c>
      <c r="C65" s="28">
        <f>Cashflows!D65</f>
        <v>51775</v>
      </c>
      <c r="D65" s="24">
        <f>Cashflows!G65+Cashflows!H65</f>
        <v>182739.726</v>
      </c>
      <c r="E65" s="23">
        <f>Cashflows!F65</f>
        <v>0.2520547945</v>
      </c>
      <c r="F65" s="29">
        <f>EXP(-Inputs!$E$3*E65)</f>
        <v>0.981891984</v>
      </c>
      <c r="G65" s="30">
        <f t="shared" si="1"/>
        <v>179430.6721</v>
      </c>
    </row>
    <row r="66">
      <c r="B66" s="27">
        <f>Cashflows!B66</f>
        <v>64</v>
      </c>
      <c r="C66" s="28">
        <f>Cashflows!D66</f>
        <v>51867</v>
      </c>
      <c r="D66" s="24">
        <f>Cashflows!G66+Cashflows!H66</f>
        <v>182739.726</v>
      </c>
      <c r="E66" s="23">
        <f>Cashflows!F66</f>
        <v>0.2520547945</v>
      </c>
      <c r="F66" s="29">
        <f>EXP(-Inputs!$E$3*E66)</f>
        <v>0.981891984</v>
      </c>
      <c r="G66" s="30">
        <f t="shared" si="1"/>
        <v>179430.6721</v>
      </c>
    </row>
    <row r="67">
      <c r="B67" s="27">
        <f>Cashflows!B67</f>
        <v>65</v>
      </c>
      <c r="C67" s="28">
        <f>Cashflows!D67</f>
        <v>51957</v>
      </c>
      <c r="D67" s="24">
        <f>Cashflows!G67+Cashflows!H67</f>
        <v>178767.1233</v>
      </c>
      <c r="E67" s="23">
        <f>Cashflows!F67</f>
        <v>0.2465753425</v>
      </c>
      <c r="F67" s="29">
        <f>EXP(-Inputs!$E$3*E67)</f>
        <v>0.9822821282</v>
      </c>
      <c r="G67" s="30">
        <f t="shared" si="1"/>
        <v>175599.7503</v>
      </c>
    </row>
    <row r="68">
      <c r="B68" s="27">
        <f>Cashflows!B68</f>
        <v>66</v>
      </c>
      <c r="C68" s="28">
        <f>Cashflows!D68</f>
        <v>52048</v>
      </c>
      <c r="D68" s="24">
        <f>Cashflows!G68+Cashflows!H68</f>
        <v>180753.4247</v>
      </c>
      <c r="E68" s="23">
        <f>Cashflows!F68</f>
        <v>0.2493150685</v>
      </c>
      <c r="F68" s="29">
        <f>EXP(-Inputs!$E$3*E68)</f>
        <v>0.9820870367</v>
      </c>
      <c r="G68" s="30">
        <f t="shared" si="1"/>
        <v>177515.5952</v>
      </c>
    </row>
    <row r="69">
      <c r="B69" s="27">
        <f>Cashflows!B69</f>
        <v>67</v>
      </c>
      <c r="C69" s="28">
        <f>Cashflows!D69</f>
        <v>52140</v>
      </c>
      <c r="D69" s="24">
        <f>Cashflows!G69+Cashflows!H69</f>
        <v>182739.726</v>
      </c>
      <c r="E69" s="23">
        <f>Cashflows!F69</f>
        <v>0.2520547945</v>
      </c>
      <c r="F69" s="29">
        <f>EXP(-Inputs!$E$3*E69)</f>
        <v>0.981891984</v>
      </c>
      <c r="G69" s="30">
        <f t="shared" si="1"/>
        <v>179430.6721</v>
      </c>
    </row>
    <row r="70">
      <c r="B70" s="27">
        <f>Cashflows!B70</f>
        <v>68</v>
      </c>
      <c r="C70" s="28">
        <f>Cashflows!D70</f>
        <v>52232</v>
      </c>
      <c r="D70" s="24">
        <f>Cashflows!G70+Cashflows!H70</f>
        <v>182739.726</v>
      </c>
      <c r="E70" s="23">
        <f>Cashflows!F70</f>
        <v>0.2520547945</v>
      </c>
      <c r="F70" s="29">
        <f>EXP(-Inputs!$E$3*E70)</f>
        <v>0.981891984</v>
      </c>
      <c r="G70" s="30">
        <f t="shared" si="1"/>
        <v>179430.6721</v>
      </c>
    </row>
    <row r="71">
      <c r="B71" s="27">
        <f>Cashflows!B71</f>
        <v>69</v>
      </c>
      <c r="C71" s="28">
        <f>Cashflows!D71</f>
        <v>52322</v>
      </c>
      <c r="D71" s="24">
        <f>Cashflows!G71+Cashflows!H71</f>
        <v>178767.1233</v>
      </c>
      <c r="E71" s="23">
        <f>Cashflows!F71</f>
        <v>0.2465753425</v>
      </c>
      <c r="F71" s="29">
        <f>EXP(-Inputs!$E$3*E71)</f>
        <v>0.9822821282</v>
      </c>
      <c r="G71" s="30">
        <f t="shared" si="1"/>
        <v>175599.7503</v>
      </c>
    </row>
    <row r="72">
      <c r="B72" s="27">
        <f>Cashflows!B72</f>
        <v>70</v>
      </c>
      <c r="C72" s="28">
        <f>Cashflows!D72</f>
        <v>52413</v>
      </c>
      <c r="D72" s="24">
        <f>Cashflows!G72+Cashflows!H72</f>
        <v>180753.4247</v>
      </c>
      <c r="E72" s="23">
        <f>Cashflows!F72</f>
        <v>0.2493150685</v>
      </c>
      <c r="F72" s="29">
        <f>EXP(-Inputs!$E$3*E72)</f>
        <v>0.9820870367</v>
      </c>
      <c r="G72" s="30">
        <f t="shared" si="1"/>
        <v>177515.5952</v>
      </c>
    </row>
    <row r="73">
      <c r="B73" s="27">
        <f>Cashflows!B73</f>
        <v>71</v>
      </c>
      <c r="C73" s="28">
        <f>Cashflows!D73</f>
        <v>52505</v>
      </c>
      <c r="D73" s="24">
        <f>Cashflows!G73+Cashflows!H73</f>
        <v>182739.726</v>
      </c>
      <c r="E73" s="23">
        <f>Cashflows!F73</f>
        <v>0.2520547945</v>
      </c>
      <c r="F73" s="29">
        <f>EXP(-Inputs!$E$3*E73)</f>
        <v>0.981891984</v>
      </c>
      <c r="G73" s="30">
        <f t="shared" si="1"/>
        <v>179430.6721</v>
      </c>
    </row>
    <row r="74">
      <c r="B74" s="27">
        <f>Cashflows!B74</f>
        <v>72</v>
      </c>
      <c r="C74" s="28">
        <f>Cashflows!D74</f>
        <v>52597</v>
      </c>
      <c r="D74" s="24">
        <f>Cashflows!G74+Cashflows!H74</f>
        <v>182739.726</v>
      </c>
      <c r="E74" s="23">
        <f>Cashflows!F74</f>
        <v>0.2520547945</v>
      </c>
      <c r="F74" s="29">
        <f>EXP(-Inputs!$E$3*E74)</f>
        <v>0.981891984</v>
      </c>
      <c r="G74" s="30">
        <f t="shared" si="1"/>
        <v>179430.6721</v>
      </c>
    </row>
    <row r="75">
      <c r="B75" s="27">
        <f>Cashflows!B75</f>
        <v>73</v>
      </c>
      <c r="C75" s="28">
        <f>Cashflows!D75</f>
        <v>52688</v>
      </c>
      <c r="D75" s="24">
        <f>Cashflows!G75+Cashflows!H75</f>
        <v>180753.4247</v>
      </c>
      <c r="E75" s="23">
        <f>Cashflows!F75</f>
        <v>0.2493150685</v>
      </c>
      <c r="F75" s="29">
        <f>EXP(-Inputs!$E$3*E75)</f>
        <v>0.9820870367</v>
      </c>
      <c r="G75" s="30">
        <f t="shared" si="1"/>
        <v>177515.5952</v>
      </c>
    </row>
    <row r="76">
      <c r="B76" s="27">
        <f>Cashflows!B76</f>
        <v>74</v>
      </c>
      <c r="C76" s="28">
        <f>Cashflows!D76</f>
        <v>52779</v>
      </c>
      <c r="D76" s="24">
        <f>Cashflows!G76+Cashflows!H76</f>
        <v>180753.4247</v>
      </c>
      <c r="E76" s="23">
        <f>Cashflows!F76</f>
        <v>0.2493150685</v>
      </c>
      <c r="F76" s="29">
        <f>EXP(-Inputs!$E$3*E76)</f>
        <v>0.9820870367</v>
      </c>
      <c r="G76" s="30">
        <f t="shared" si="1"/>
        <v>177515.5952</v>
      </c>
    </row>
    <row r="77">
      <c r="B77" s="27">
        <f>Cashflows!B77</f>
        <v>75</v>
      </c>
      <c r="C77" s="28">
        <f>Cashflows!D77</f>
        <v>52871</v>
      </c>
      <c r="D77" s="24">
        <f>Cashflows!G77+Cashflows!H77</f>
        <v>182739.726</v>
      </c>
      <c r="E77" s="23">
        <f>Cashflows!F77</f>
        <v>0.2520547945</v>
      </c>
      <c r="F77" s="29">
        <f>EXP(-Inputs!$E$3*E77)</f>
        <v>0.981891984</v>
      </c>
      <c r="G77" s="30">
        <f t="shared" si="1"/>
        <v>179430.6721</v>
      </c>
    </row>
    <row r="78">
      <c r="B78" s="27">
        <f>Cashflows!B78</f>
        <v>76</v>
      </c>
      <c r="C78" s="28">
        <f>Cashflows!D78</f>
        <v>52963</v>
      </c>
      <c r="D78" s="24">
        <f>Cashflows!G78+Cashflows!H78</f>
        <v>10182739.73</v>
      </c>
      <c r="E78" s="23">
        <f>Cashflows!F78</f>
        <v>0.2520547945</v>
      </c>
      <c r="F78" s="29">
        <f>EXP(-Inputs!$E$3*E78)</f>
        <v>0.981891984</v>
      </c>
      <c r="G78" s="30">
        <f t="shared" si="1"/>
        <v>9998350.512</v>
      </c>
    </row>
    <row r="79">
      <c r="B79" s="27" t="str">
        <f>Cashflows!B79</f>
        <v/>
      </c>
      <c r="C79" s="29" t="str">
        <f>Cashflows!D79</f>
        <v/>
      </c>
      <c r="D79" s="24">
        <f>Cashflows!G79+Cashflows!H79</f>
        <v>0</v>
      </c>
      <c r="E79" s="23">
        <f>Cashflows!F79</f>
        <v>0</v>
      </c>
      <c r="F79" s="29">
        <f>EXP(-Inputs!$E$3*E79)</f>
        <v>1</v>
      </c>
      <c r="G79" s="30">
        <f t="shared" si="1"/>
        <v>0</v>
      </c>
    </row>
    <row r="80">
      <c r="B80" s="27" t="str">
        <f>Cashflows!B80</f>
        <v/>
      </c>
      <c r="C80" s="29" t="str">
        <f>Cashflows!D80</f>
        <v/>
      </c>
      <c r="D80" s="24">
        <f>Cashflows!G80+Cashflows!H80</f>
        <v>0</v>
      </c>
      <c r="E80" s="23">
        <f>Cashflows!F80</f>
        <v>0</v>
      </c>
      <c r="F80" s="29">
        <f>EXP(-Inputs!$E$3*E80)</f>
        <v>1</v>
      </c>
      <c r="G80" s="30">
        <f t="shared" si="1"/>
        <v>0</v>
      </c>
    </row>
    <row r="81">
      <c r="B81" s="27" t="str">
        <f>Cashflows!B81</f>
        <v/>
      </c>
      <c r="C81" s="29" t="str">
        <f>Cashflows!D81</f>
        <v/>
      </c>
      <c r="D81" s="24">
        <f>Cashflows!G81+Cashflows!H81</f>
        <v>0</v>
      </c>
      <c r="E81" s="23">
        <f>Cashflows!F81</f>
        <v>0</v>
      </c>
      <c r="F81" s="29">
        <f>EXP(-Inputs!$E$3*E81)</f>
        <v>1</v>
      </c>
      <c r="G81" s="30">
        <f t="shared" si="1"/>
        <v>0</v>
      </c>
    </row>
    <row r="82">
      <c r="B82" s="27" t="str">
        <f>Cashflows!B82</f>
        <v/>
      </c>
      <c r="C82" s="29" t="str">
        <f>Cashflows!D82</f>
        <v/>
      </c>
      <c r="D82" s="24">
        <f>Cashflows!G82+Cashflows!H82</f>
        <v>0</v>
      </c>
      <c r="E82" s="23">
        <f>Cashflows!F82</f>
        <v>0</v>
      </c>
      <c r="F82" s="29">
        <f>EXP(-Inputs!$E$3*E82)</f>
        <v>1</v>
      </c>
      <c r="G82" s="30">
        <f t="shared" si="1"/>
        <v>0</v>
      </c>
    </row>
    <row r="83">
      <c r="B83" s="27" t="str">
        <f>Cashflows!B83</f>
        <v/>
      </c>
      <c r="C83" s="29" t="str">
        <f>Cashflows!D83</f>
        <v/>
      </c>
      <c r="D83" s="24">
        <f>Cashflows!G83+Cashflows!H83</f>
        <v>0</v>
      </c>
      <c r="E83" s="23">
        <f>Cashflows!F83</f>
        <v>0</v>
      </c>
      <c r="F83" s="29">
        <f>EXP(-Inputs!$E$3*E83)</f>
        <v>1</v>
      </c>
      <c r="G83" s="30">
        <f t="shared" si="1"/>
        <v>0</v>
      </c>
    </row>
    <row r="84">
      <c r="B84" s="27" t="str">
        <f>Cashflows!B84</f>
        <v/>
      </c>
      <c r="C84" s="29" t="str">
        <f>Cashflows!D84</f>
        <v/>
      </c>
      <c r="D84" s="24">
        <f>Cashflows!G84+Cashflows!H84</f>
        <v>0</v>
      </c>
      <c r="E84" s="23">
        <f>Cashflows!F84</f>
        <v>0</v>
      </c>
      <c r="F84" s="29">
        <f>EXP(-Inputs!$E$3*E84)</f>
        <v>1</v>
      </c>
      <c r="G84" s="30">
        <f t="shared" si="1"/>
        <v>0</v>
      </c>
    </row>
    <row r="85">
      <c r="B85" s="27" t="str">
        <f>Cashflows!B85</f>
        <v/>
      </c>
      <c r="C85" s="29" t="str">
        <f>Cashflows!D85</f>
        <v/>
      </c>
      <c r="D85" s="24">
        <f>Cashflows!G85+Cashflows!H85</f>
        <v>0</v>
      </c>
      <c r="E85" s="23">
        <f>Cashflows!F85</f>
        <v>0</v>
      </c>
      <c r="F85" s="29">
        <f>EXP(-Inputs!$E$3*E85)</f>
        <v>1</v>
      </c>
      <c r="G85" s="30">
        <f t="shared" si="1"/>
        <v>0</v>
      </c>
    </row>
    <row r="86">
      <c r="B86" s="27" t="str">
        <f>Cashflows!B86</f>
        <v/>
      </c>
      <c r="C86" s="29" t="str">
        <f>Cashflows!D86</f>
        <v/>
      </c>
      <c r="D86" s="24">
        <f>Cashflows!G86+Cashflows!H86</f>
        <v>0</v>
      </c>
      <c r="E86" s="23">
        <f>Cashflows!F86</f>
        <v>0</v>
      </c>
      <c r="F86" s="29">
        <f>EXP(-Inputs!$E$3*E86)</f>
        <v>1</v>
      </c>
      <c r="G86" s="30">
        <f t="shared" si="1"/>
        <v>0</v>
      </c>
    </row>
    <row r="87">
      <c r="B87" s="27" t="str">
        <f>Cashflows!B87</f>
        <v/>
      </c>
      <c r="C87" s="29" t="str">
        <f>Cashflows!D87</f>
        <v/>
      </c>
      <c r="D87" s="24">
        <f>Cashflows!G87+Cashflows!H87</f>
        <v>0</v>
      </c>
      <c r="E87" s="23">
        <f>Cashflows!F87</f>
        <v>0</v>
      </c>
      <c r="F87" s="29">
        <f>EXP(-Inputs!$E$3*E87)</f>
        <v>1</v>
      </c>
      <c r="G87" s="30">
        <f t="shared" si="1"/>
        <v>0</v>
      </c>
    </row>
    <row r="88">
      <c r="B88" s="27" t="str">
        <f>Cashflows!B88</f>
        <v/>
      </c>
      <c r="C88" s="29" t="str">
        <f>Cashflows!D88</f>
        <v/>
      </c>
      <c r="D88" s="24">
        <f>Cashflows!G88+Cashflows!H88</f>
        <v>0</v>
      </c>
      <c r="E88" s="23">
        <f>Cashflows!F88</f>
        <v>0</v>
      </c>
      <c r="F88" s="29">
        <f>EXP(-Inputs!$E$3*E88)</f>
        <v>1</v>
      </c>
      <c r="G88" s="30">
        <f t="shared" si="1"/>
        <v>0</v>
      </c>
    </row>
    <row r="89">
      <c r="B89" s="27" t="str">
        <f>Cashflows!B89</f>
        <v/>
      </c>
      <c r="C89" s="29" t="str">
        <f>Cashflows!D89</f>
        <v/>
      </c>
      <c r="D89" s="24">
        <f>Cashflows!G89+Cashflows!H89</f>
        <v>0</v>
      </c>
      <c r="E89" s="23">
        <f>Cashflows!F89</f>
        <v>0</v>
      </c>
      <c r="F89" s="29">
        <f>EXP(-Inputs!$E$3*E89)</f>
        <v>1</v>
      </c>
      <c r="G89" s="30">
        <f t="shared" si="1"/>
        <v>0</v>
      </c>
    </row>
    <row r="90">
      <c r="B90" s="27" t="str">
        <f>Cashflows!B90</f>
        <v/>
      </c>
      <c r="C90" s="29" t="str">
        <f>Cashflows!D90</f>
        <v/>
      </c>
      <c r="D90" s="24">
        <f>Cashflows!G90+Cashflows!H90</f>
        <v>0</v>
      </c>
      <c r="E90" s="23">
        <f>Cashflows!F90</f>
        <v>0</v>
      </c>
      <c r="F90" s="29">
        <f>EXP(-Inputs!$E$3*E90)</f>
        <v>1</v>
      </c>
      <c r="G90" s="30">
        <f t="shared" si="1"/>
        <v>0</v>
      </c>
    </row>
    <row r="91">
      <c r="B91" s="27" t="str">
        <f>Cashflows!B91</f>
        <v/>
      </c>
      <c r="C91" s="29" t="str">
        <f>Cashflows!D91</f>
        <v/>
      </c>
      <c r="D91" s="24">
        <f>Cashflows!G91+Cashflows!H91</f>
        <v>0</v>
      </c>
      <c r="E91" s="23">
        <f>Cashflows!F91</f>
        <v>0</v>
      </c>
      <c r="F91" s="29">
        <f>EXP(-Inputs!$E$3*E91)</f>
        <v>1</v>
      </c>
      <c r="G91" s="30">
        <f t="shared" si="1"/>
        <v>0</v>
      </c>
    </row>
    <row r="92">
      <c r="B92" s="27" t="str">
        <f>Cashflows!B92</f>
        <v/>
      </c>
      <c r="C92" s="29" t="str">
        <f>Cashflows!D92</f>
        <v/>
      </c>
      <c r="D92" s="24">
        <f>Cashflows!G92+Cashflows!H92</f>
        <v>0</v>
      </c>
      <c r="E92" s="23">
        <f>Cashflows!F92</f>
        <v>0</v>
      </c>
      <c r="F92" s="29">
        <f>EXP(-Inputs!$E$3*E92)</f>
        <v>1</v>
      </c>
      <c r="G92" s="30">
        <f t="shared" si="1"/>
        <v>0</v>
      </c>
    </row>
    <row r="93">
      <c r="B93" s="27" t="str">
        <f>Cashflows!B93</f>
        <v/>
      </c>
      <c r="C93" s="29" t="str">
        <f>Cashflows!D93</f>
        <v/>
      </c>
      <c r="D93" s="24">
        <f>Cashflows!G93+Cashflows!H93</f>
        <v>0</v>
      </c>
      <c r="E93" s="23">
        <f>Cashflows!F93</f>
        <v>0</v>
      </c>
      <c r="F93" s="29">
        <f>EXP(-Inputs!$E$3*E93)</f>
        <v>1</v>
      </c>
      <c r="G93" s="30">
        <f t="shared" si="1"/>
        <v>0</v>
      </c>
    </row>
    <row r="94">
      <c r="B94" s="27" t="str">
        <f>Cashflows!B94</f>
        <v/>
      </c>
      <c r="C94" s="29" t="str">
        <f>Cashflows!D94</f>
        <v/>
      </c>
      <c r="D94" s="24">
        <f>Cashflows!G94+Cashflows!H94</f>
        <v>0</v>
      </c>
      <c r="E94" s="23">
        <f>Cashflows!F94</f>
        <v>0</v>
      </c>
      <c r="F94" s="29">
        <f>EXP(-Inputs!$E$3*E94)</f>
        <v>1</v>
      </c>
      <c r="G94" s="30">
        <f t="shared" si="1"/>
        <v>0</v>
      </c>
    </row>
    <row r="95">
      <c r="B95" s="27" t="str">
        <f>Cashflows!B95</f>
        <v/>
      </c>
      <c r="C95" s="29" t="str">
        <f>Cashflows!D95</f>
        <v/>
      </c>
      <c r="D95" s="24">
        <f>Cashflows!G95+Cashflows!H95</f>
        <v>0</v>
      </c>
      <c r="E95" s="23">
        <f>Cashflows!F95</f>
        <v>0</v>
      </c>
      <c r="F95" s="29">
        <f>EXP(-Inputs!$E$3*E95)</f>
        <v>1</v>
      </c>
      <c r="G95" s="30">
        <f t="shared" si="1"/>
        <v>0</v>
      </c>
    </row>
    <row r="96">
      <c r="B96" s="27" t="str">
        <f>Cashflows!B96</f>
        <v/>
      </c>
      <c r="C96" s="29" t="str">
        <f>Cashflows!D96</f>
        <v/>
      </c>
      <c r="D96" s="24">
        <f>Cashflows!G96+Cashflows!H96</f>
        <v>0</v>
      </c>
      <c r="E96" s="23">
        <f>Cashflows!F96</f>
        <v>0</v>
      </c>
      <c r="F96" s="29">
        <f>EXP(-Inputs!$E$3*E96)</f>
        <v>1</v>
      </c>
      <c r="G96" s="30">
        <f t="shared" si="1"/>
        <v>0</v>
      </c>
    </row>
    <row r="97">
      <c r="B97" s="27" t="str">
        <f>Cashflows!B97</f>
        <v/>
      </c>
      <c r="C97" s="29" t="str">
        <f>Cashflows!D97</f>
        <v/>
      </c>
      <c r="D97" s="24">
        <f>Cashflows!G97+Cashflows!H97</f>
        <v>0</v>
      </c>
      <c r="E97" s="23">
        <f>Cashflows!F97</f>
        <v>0</v>
      </c>
      <c r="F97" s="29">
        <f>EXP(-Inputs!$E$3*E97)</f>
        <v>1</v>
      </c>
      <c r="G97" s="30">
        <f t="shared" si="1"/>
        <v>0</v>
      </c>
    </row>
    <row r="98">
      <c r="B98" s="27" t="str">
        <f>Cashflows!B98</f>
        <v/>
      </c>
      <c r="C98" s="29" t="str">
        <f>Cashflows!D98</f>
        <v/>
      </c>
      <c r="D98" s="24">
        <f>Cashflows!G98+Cashflows!H98</f>
        <v>0</v>
      </c>
      <c r="E98" s="23">
        <f>Cashflows!F98</f>
        <v>0</v>
      </c>
      <c r="F98" s="29">
        <f>EXP(-Inputs!$E$3*E98)</f>
        <v>1</v>
      </c>
      <c r="G98" s="30">
        <f t="shared" si="1"/>
        <v>0</v>
      </c>
    </row>
    <row r="99">
      <c r="B99" s="31" t="str">
        <f>Cashflows!B99</f>
        <v/>
      </c>
      <c r="C99" s="32" t="str">
        <f>Cashflows!D99</f>
        <v/>
      </c>
      <c r="D99" s="34">
        <f>Cashflows!G99+Cashflows!H99</f>
        <v>0</v>
      </c>
      <c r="E99" s="33">
        <f>Cashflows!F99</f>
        <v>0</v>
      </c>
      <c r="F99" s="32">
        <f>EXP(-Inputs!$E$3*E99)</f>
        <v>1</v>
      </c>
      <c r="G99" s="35">
        <f t="shared" si="1"/>
        <v>0</v>
      </c>
    </row>
  </sheetData>
  <drawing r:id="rId1"/>
</worksheet>
</file>
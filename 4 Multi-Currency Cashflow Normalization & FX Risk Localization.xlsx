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Cashflow Schedule" sheetId="2" r:id="rId6"/>
    <sheet state="visible" name="Path A" sheetId="3" r:id="rId7"/>
    <sheet state="visible" name="Path B" sheetId="4" r:id="rId8"/>
  </sheets>
  <definedNames/>
  <calcPr/>
</workbook>
</file>

<file path=xl/sharedStrings.xml><?xml version="1.0" encoding="utf-8"?>
<sst xmlns="http://schemas.openxmlformats.org/spreadsheetml/2006/main" count="26" uniqueCount="23">
  <si>
    <t>Inputs</t>
  </si>
  <si>
    <t>Notional (USD)</t>
  </si>
  <si>
    <t>Coupon Rate</t>
  </si>
  <si>
    <t>Coupon Frequency</t>
  </si>
  <si>
    <t>Maturity (Years)</t>
  </si>
  <si>
    <t>Spot FX (USD/INR)</t>
  </si>
  <si>
    <t>USD Zero Rate</t>
  </si>
  <si>
    <t>INR Zero Rate</t>
  </si>
  <si>
    <t>Payment</t>
  </si>
  <si>
    <t>Time (Years)</t>
  </si>
  <si>
    <t>Coupon</t>
  </si>
  <si>
    <t xml:space="preserve">Principal </t>
  </si>
  <si>
    <t>Total CF</t>
  </si>
  <si>
    <t>Year</t>
  </si>
  <si>
    <t>USD CF</t>
  </si>
  <si>
    <t>USD DF</t>
  </si>
  <si>
    <t>USD PV</t>
  </si>
  <si>
    <t>INR PV</t>
  </si>
  <si>
    <t>Total Present Value</t>
  </si>
  <si>
    <t xml:space="preserve">Year </t>
  </si>
  <si>
    <t>Forward FX</t>
  </si>
  <si>
    <t>INR CF</t>
  </si>
  <si>
    <t>INR 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</si>
</sst>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rgb="FF073763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5" fillId="0" fontId="2" numFmtId="0" xfId="0" applyBorder="1" applyFont="1"/>
    <xf borderId="4" fillId="0" fontId="5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4" numFmtId="10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4" fillId="0" fontId="5" numFmtId="0" xfId="0" applyAlignment="1" applyBorder="1" applyFont="1">
      <alignment readingOrder="0" vertical="bottom"/>
    </xf>
    <xf borderId="0" fillId="0" fontId="4" numFmtId="4" xfId="0" applyAlignment="1" applyFont="1" applyNumberFormat="1">
      <alignment horizontal="center" readingOrder="0"/>
    </xf>
    <xf borderId="6" fillId="0" fontId="3" numFmtId="0" xfId="0" applyAlignment="1" applyBorder="1" applyFont="1">
      <alignment readingOrder="0"/>
    </xf>
    <xf borderId="7" fillId="0" fontId="2" numFmtId="0" xfId="0" applyBorder="1" applyFont="1"/>
    <xf borderId="7" fillId="0" fontId="4" numFmtId="10" xfId="0" applyAlignment="1" applyBorder="1" applyFont="1" applyNumberFormat="1">
      <alignment horizontal="center" readingOrder="0"/>
    </xf>
    <xf borderId="8" fillId="0" fontId="2" numFmtId="0" xfId="0" applyBorder="1" applyFont="1"/>
    <xf borderId="0" fillId="2" fontId="1" numFmtId="0" xfId="0" applyAlignment="1" applyFont="1">
      <alignment horizontal="center" readingOrder="0"/>
    </xf>
    <xf borderId="0" fillId="0" fontId="7" numFmtId="0" xfId="0" applyFont="1"/>
    <xf borderId="0" fillId="2" fontId="1" numFmtId="164" xfId="0" applyAlignment="1" applyFont="1" applyNumberFormat="1">
      <alignment horizontal="center" readingOrder="0"/>
    </xf>
    <xf borderId="0" fillId="2" fontId="1" numFmtId="2" xfId="0" applyAlignment="1" applyFont="1" applyNumberFormat="1">
      <alignment horizontal="center" readingOrder="0"/>
    </xf>
    <xf borderId="0" fillId="0" fontId="7" numFmtId="164" xfId="0" applyFont="1" applyNumberFormat="1"/>
    <xf borderId="0" fillId="0" fontId="7" numFmtId="2" xfId="0" applyFont="1" applyNumberFormat="1"/>
    <xf borderId="9" fillId="0" fontId="3" numFmtId="0" xfId="0" applyAlignment="1" applyBorder="1" applyFont="1">
      <alignment readingOrder="0"/>
    </xf>
    <xf borderId="10" fillId="0" fontId="2" numFmtId="0" xfId="0" applyBorder="1" applyFont="1"/>
    <xf borderId="11" fillId="3" fontId="7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</row>
    <row r="2">
      <c r="A2" s="4" t="s">
        <v>1</v>
      </c>
      <c r="C2" s="5">
        <v>1000000.0</v>
      </c>
      <c r="D2" s="6"/>
    </row>
    <row r="3">
      <c r="A3" s="7" t="s">
        <v>2</v>
      </c>
      <c r="B3" s="8"/>
      <c r="C3" s="9">
        <v>0.05</v>
      </c>
      <c r="D3" s="6"/>
      <c r="E3" s="10"/>
    </row>
    <row r="4">
      <c r="A4" s="11" t="s">
        <v>3</v>
      </c>
      <c r="B4" s="8"/>
      <c r="C4" s="12">
        <v>1.0</v>
      </c>
      <c r="D4" s="6"/>
      <c r="E4" s="10"/>
    </row>
    <row r="5">
      <c r="A5" s="11" t="s">
        <v>4</v>
      </c>
      <c r="C5" s="12">
        <v>2.0</v>
      </c>
      <c r="D5" s="6"/>
      <c r="E5" s="10"/>
    </row>
    <row r="6">
      <c r="A6" s="7" t="s">
        <v>5</v>
      </c>
      <c r="C6" s="12">
        <v>90.0</v>
      </c>
      <c r="D6" s="6"/>
      <c r="E6" s="10"/>
    </row>
    <row r="7">
      <c r="A7" s="4" t="s">
        <v>6</v>
      </c>
      <c r="C7" s="9">
        <v>0.035</v>
      </c>
      <c r="D7" s="6"/>
    </row>
    <row r="8">
      <c r="A8" s="13" t="s">
        <v>7</v>
      </c>
      <c r="B8" s="14"/>
      <c r="C8" s="15">
        <v>0.068</v>
      </c>
      <c r="D8" s="16"/>
    </row>
  </sheetData>
  <mergeCells count="13">
    <mergeCell ref="C6:D6"/>
    <mergeCell ref="C7:D7"/>
    <mergeCell ref="C3:D3"/>
    <mergeCell ref="C4:D4"/>
    <mergeCell ref="C5:D5"/>
    <mergeCell ref="A5:B5"/>
    <mergeCell ref="A2:B2"/>
    <mergeCell ref="A7:B7"/>
    <mergeCell ref="A8:B8"/>
    <mergeCell ref="A6:B6"/>
    <mergeCell ref="A1:D1"/>
    <mergeCell ref="C2:D2"/>
    <mergeCell ref="C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7" t="s">
        <v>8</v>
      </c>
      <c r="B1" s="17" t="s">
        <v>9</v>
      </c>
      <c r="C1" s="17" t="s">
        <v>10</v>
      </c>
      <c r="D1" s="17" t="s">
        <v>11</v>
      </c>
      <c r="E1" s="17" t="s">
        <v>12</v>
      </c>
    </row>
    <row r="2">
      <c r="A2" s="18">
        <f t="array" ref="A2:A3">SEQUENCE(Inputs!C4*Inputs!C5,1,1,1)</f>
        <v>1</v>
      </c>
      <c r="B2" s="18">
        <f>IF(A2="","",A2/Inputs!$C$4)</f>
        <v>1</v>
      </c>
      <c r="C2" s="18">
        <f>IF(A2="","",(Inputs!$C$3*Inputs!$C$2)/Inputs!$C$4)</f>
        <v>50000</v>
      </c>
      <c r="D2" s="18" t="str">
        <f>IF(A2 = MAX($A$2:A1000), Inputs!$C$2, "")</f>
        <v/>
      </c>
      <c r="E2" s="18">
        <f t="shared" ref="E2:E1000" si="1">IF(A2="","",D2+C2)</f>
        <v>50000</v>
      </c>
    </row>
    <row r="3">
      <c r="A3" s="18">
        <v>2.0</v>
      </c>
      <c r="B3" s="18">
        <f>IF(A3="","",A3/Inputs!$C$4)</f>
        <v>2</v>
      </c>
      <c r="C3" s="18">
        <f>IF(A3="","",(Inputs!$C$3*Inputs!$C$2)/Inputs!$C$4)</f>
        <v>50000</v>
      </c>
      <c r="D3" s="18">
        <f>IF(A3 = MAX($A$2:A1000), Inputs!$C$2, "")</f>
        <v>1000000</v>
      </c>
      <c r="E3" s="18">
        <f t="shared" si="1"/>
        <v>1050000</v>
      </c>
    </row>
    <row r="4">
      <c r="B4" s="18" t="str">
        <f>IF(A4="","",A4/Inputs!$C$4)</f>
        <v/>
      </c>
      <c r="C4" s="18" t="str">
        <f>IF(A4="","",(Inputs!$C$3*Inputs!$C$2)/Inputs!$C$4)</f>
        <v/>
      </c>
      <c r="D4" s="18" t="str">
        <f>IF(A4 = MAX($A$2:A1000), Inputs!$C$2, "")</f>
        <v/>
      </c>
      <c r="E4" s="18" t="str">
        <f t="shared" si="1"/>
        <v/>
      </c>
    </row>
    <row r="5">
      <c r="B5" s="18" t="str">
        <f>IF(A5="","",A5/Inputs!$C$4)</f>
        <v/>
      </c>
      <c r="C5" s="18" t="str">
        <f>IF(A5="","",(Inputs!$C$3*Inputs!$C$2)/Inputs!$C$4)</f>
        <v/>
      </c>
      <c r="D5" s="18" t="str">
        <f>IF(A5 = MAX($A$2:A1000), Inputs!$C$2, "")</f>
        <v/>
      </c>
      <c r="E5" s="18" t="str">
        <f t="shared" si="1"/>
        <v/>
      </c>
    </row>
    <row r="6">
      <c r="B6" s="18" t="str">
        <f>IF(A6="","",A6/Inputs!$C$4)</f>
        <v/>
      </c>
      <c r="C6" s="18" t="str">
        <f>IF(A6="","",(Inputs!$C$3*Inputs!$C$2)/Inputs!$C$4)</f>
        <v/>
      </c>
      <c r="D6" s="18" t="str">
        <f>IF(A6 = MAX($A$2:A1000), Inputs!$C$2, "")</f>
        <v/>
      </c>
      <c r="E6" s="18" t="str">
        <f t="shared" si="1"/>
        <v/>
      </c>
    </row>
    <row r="7">
      <c r="B7" s="18" t="str">
        <f>IF(A7="","",A7/Inputs!$C$4)</f>
        <v/>
      </c>
      <c r="C7" s="18" t="str">
        <f>IF(A7="","",(Inputs!$C$3*Inputs!$C$2)/Inputs!$C$4)</f>
        <v/>
      </c>
      <c r="D7" s="18" t="str">
        <f>IF(A7 = MAX($A$2:A1000), Inputs!$C$2, "")</f>
        <v/>
      </c>
      <c r="E7" s="18" t="str">
        <f t="shared" si="1"/>
        <v/>
      </c>
    </row>
    <row r="8">
      <c r="B8" s="18" t="str">
        <f>IF(A8="","",A8/Inputs!$C$4)</f>
        <v/>
      </c>
      <c r="C8" s="18" t="str">
        <f>IF(A8="","",(Inputs!$C$3*Inputs!$C$2)/Inputs!$C$4)</f>
        <v/>
      </c>
      <c r="D8" s="18" t="str">
        <f>IF(A8 = MAX($A$2:A1000), Inputs!$C$2, "")</f>
        <v/>
      </c>
      <c r="E8" s="18" t="str">
        <f t="shared" si="1"/>
        <v/>
      </c>
    </row>
    <row r="9">
      <c r="B9" s="18" t="str">
        <f>IF(A9="","",A9/Inputs!$C$4)</f>
        <v/>
      </c>
      <c r="C9" s="18" t="str">
        <f>IF(A9="","",(Inputs!$C$3*Inputs!$C$2)/Inputs!$C$4)</f>
        <v/>
      </c>
      <c r="D9" s="18" t="str">
        <f>IF(A9 = MAX($A$2:A1000), Inputs!$C$2, "")</f>
        <v/>
      </c>
      <c r="E9" s="18" t="str">
        <f t="shared" si="1"/>
        <v/>
      </c>
    </row>
    <row r="10">
      <c r="B10" s="18" t="str">
        <f>IF(A10="","",A10/Inputs!$C$4)</f>
        <v/>
      </c>
      <c r="C10" s="18" t="str">
        <f>IF(A10="","",(Inputs!$C$3*Inputs!$C$2)/Inputs!$C$4)</f>
        <v/>
      </c>
      <c r="D10" s="18" t="str">
        <f>IF(A10 = MAX($A$2:A1000), Inputs!$C$2, "")</f>
        <v/>
      </c>
      <c r="E10" s="18" t="str">
        <f t="shared" si="1"/>
        <v/>
      </c>
    </row>
    <row r="11">
      <c r="B11" s="18" t="str">
        <f>IF(A11="","",A11/Inputs!$C$4)</f>
        <v/>
      </c>
      <c r="C11" s="18" t="str">
        <f>IF(A11="","",(Inputs!$C$3*Inputs!$C$2)/Inputs!$C$4)</f>
        <v/>
      </c>
      <c r="D11" s="18" t="str">
        <f>IF(A11 = MAX($A$2:A1000), Inputs!$C$2, "")</f>
        <v/>
      </c>
      <c r="E11" s="18" t="str">
        <f t="shared" si="1"/>
        <v/>
      </c>
    </row>
    <row r="12">
      <c r="B12" s="18" t="str">
        <f>IF(A12="","",A12/Inputs!$C$4)</f>
        <v/>
      </c>
      <c r="C12" s="18" t="str">
        <f>IF(A12="","",(Inputs!$C$3*Inputs!$C$2)/Inputs!$C$4)</f>
        <v/>
      </c>
      <c r="D12" s="18" t="str">
        <f>IF(A12 = MAX($A$2:A1000), Inputs!$C$2, "")</f>
        <v/>
      </c>
      <c r="E12" s="18" t="str">
        <f t="shared" si="1"/>
        <v/>
      </c>
    </row>
    <row r="13">
      <c r="B13" s="18" t="str">
        <f>IF(A13="","",A13/Inputs!$C$4)</f>
        <v/>
      </c>
      <c r="C13" s="18" t="str">
        <f>IF(A13="","",(Inputs!$C$3*Inputs!$C$2)/Inputs!$C$4)</f>
        <v/>
      </c>
      <c r="D13" s="18" t="str">
        <f>IF(A13 = MAX($A$2:A1000), Inputs!$C$2, "")</f>
        <v/>
      </c>
      <c r="E13" s="18" t="str">
        <f t="shared" si="1"/>
        <v/>
      </c>
    </row>
    <row r="14">
      <c r="B14" s="18" t="str">
        <f>IF(A14="","",A14/Inputs!$C$4)</f>
        <v/>
      </c>
      <c r="C14" s="18" t="str">
        <f>IF(A14="","",(Inputs!$C$3*Inputs!$C$2)/Inputs!$C$4)</f>
        <v/>
      </c>
      <c r="D14" s="18" t="str">
        <f>IF(A14 = MAX($A$2:A1000), Inputs!$C$2, "")</f>
        <v/>
      </c>
      <c r="E14" s="18" t="str">
        <f t="shared" si="1"/>
        <v/>
      </c>
    </row>
    <row r="15">
      <c r="B15" s="18" t="str">
        <f>IF(A15="","",A15/Inputs!$C$4)</f>
        <v/>
      </c>
      <c r="C15" s="18" t="str">
        <f>IF(A15="","",(Inputs!$C$3*Inputs!$C$2)/Inputs!$C$4)</f>
        <v/>
      </c>
      <c r="D15" s="18" t="str">
        <f>IF(A15 = MAX($A$2:A1000), Inputs!$C$2, "")</f>
        <v/>
      </c>
      <c r="E15" s="18" t="str">
        <f t="shared" si="1"/>
        <v/>
      </c>
    </row>
    <row r="16">
      <c r="B16" s="18" t="str">
        <f>IF(A16="","",A16/Inputs!$C$4)</f>
        <v/>
      </c>
      <c r="C16" s="18" t="str">
        <f>IF(A16="","",(Inputs!$C$3*Inputs!$C$2)/Inputs!$C$4)</f>
        <v/>
      </c>
      <c r="D16" s="18" t="str">
        <f>IF(A16 = MAX($A$2:A1000), Inputs!$C$2, "")</f>
        <v/>
      </c>
      <c r="E16" s="18" t="str">
        <f t="shared" si="1"/>
        <v/>
      </c>
    </row>
    <row r="17">
      <c r="B17" s="18" t="str">
        <f>IF(A17="","",A17/Inputs!$C$4)</f>
        <v/>
      </c>
      <c r="C17" s="18" t="str">
        <f>IF(A17="","",(Inputs!$C$3*Inputs!$C$2)/Inputs!$C$4)</f>
        <v/>
      </c>
      <c r="D17" s="18" t="str">
        <f>IF(A17 = MAX($A$2:A1000), Inputs!$C$2, "")</f>
        <v/>
      </c>
      <c r="E17" s="18" t="str">
        <f t="shared" si="1"/>
        <v/>
      </c>
    </row>
    <row r="18">
      <c r="B18" s="18" t="str">
        <f>IF(A18="","",A18/Inputs!$C$4)</f>
        <v/>
      </c>
      <c r="C18" s="18" t="str">
        <f>IF(A18="","",(Inputs!$C$3*Inputs!$C$2)/Inputs!$C$4)</f>
        <v/>
      </c>
      <c r="D18" s="18" t="str">
        <f>IF(A18 = MAX($A$2:A1000), Inputs!$C$2, "")</f>
        <v/>
      </c>
      <c r="E18" s="18" t="str">
        <f t="shared" si="1"/>
        <v/>
      </c>
    </row>
    <row r="19">
      <c r="B19" s="18" t="str">
        <f>IF(A19="","",A19/Inputs!$C$4)</f>
        <v/>
      </c>
      <c r="C19" s="18" t="str">
        <f>IF(A19="","",(Inputs!$C$3*Inputs!$C$2)/Inputs!$C$4)</f>
        <v/>
      </c>
      <c r="D19" s="18" t="str">
        <f>IF(A19 = MAX($A$2:A1000), Inputs!$C$2, "")</f>
        <v/>
      </c>
      <c r="E19" s="18" t="str">
        <f t="shared" si="1"/>
        <v/>
      </c>
    </row>
    <row r="20">
      <c r="B20" s="18" t="str">
        <f>IF(A20="","",A20/Inputs!$C$4)</f>
        <v/>
      </c>
      <c r="C20" s="18" t="str">
        <f>IF(A20="","",(Inputs!$C$3*Inputs!$C$2)/Inputs!$C$4)</f>
        <v/>
      </c>
      <c r="D20" s="18" t="str">
        <f>IF(A20 = MAX($A$2:A1000), Inputs!$C$2, "")</f>
        <v/>
      </c>
      <c r="E20" s="18" t="str">
        <f t="shared" si="1"/>
        <v/>
      </c>
    </row>
    <row r="21">
      <c r="B21" s="18" t="str">
        <f>IF(A21="","",A21/Inputs!$C$4)</f>
        <v/>
      </c>
      <c r="C21" s="18" t="str">
        <f>IF(A21="","",(Inputs!$C$3*Inputs!$C$2)/Inputs!$C$4)</f>
        <v/>
      </c>
      <c r="D21" s="18" t="str">
        <f>IF(A21 = MAX($A$2:A1000), Inputs!$C$2, "")</f>
        <v/>
      </c>
      <c r="E21" s="18" t="str">
        <f t="shared" si="1"/>
        <v/>
      </c>
    </row>
    <row r="22">
      <c r="B22" s="18" t="str">
        <f>IF(A22="","",A22/Inputs!$C$4)</f>
        <v/>
      </c>
      <c r="C22" s="18" t="str">
        <f>IF(A22="","",(Inputs!$C$3*Inputs!$C$2)/Inputs!$C$4)</f>
        <v/>
      </c>
      <c r="D22" s="18" t="str">
        <f>IF(A22 = MAX($A$2:A1000), Inputs!$C$2, "")</f>
        <v/>
      </c>
      <c r="E22" s="18" t="str">
        <f t="shared" si="1"/>
        <v/>
      </c>
    </row>
    <row r="23">
      <c r="B23" s="18" t="str">
        <f>IF(A23="","",A23/Inputs!$C$4)</f>
        <v/>
      </c>
      <c r="C23" s="18" t="str">
        <f>IF(A23="","",(Inputs!$C$3*Inputs!$C$2)/Inputs!$C$4)</f>
        <v/>
      </c>
      <c r="D23" s="18" t="str">
        <f>IF(A23 = MAX($A$2:A1000), Inputs!$C$2, "")</f>
        <v/>
      </c>
      <c r="E23" s="18" t="str">
        <f t="shared" si="1"/>
        <v/>
      </c>
    </row>
    <row r="24">
      <c r="B24" s="18" t="str">
        <f>IF(A24="","",A24/Inputs!$C$4)</f>
        <v/>
      </c>
      <c r="C24" s="18" t="str">
        <f>IF(A24="","",(Inputs!$C$3*Inputs!$C$2)/Inputs!$C$4)</f>
        <v/>
      </c>
      <c r="D24" s="18" t="str">
        <f>IF(A24 = MAX($A$2:A1000), Inputs!$C$2, "")</f>
        <v/>
      </c>
      <c r="E24" s="18" t="str">
        <f t="shared" si="1"/>
        <v/>
      </c>
    </row>
    <row r="25">
      <c r="B25" s="18" t="str">
        <f>IF(A25="","",A25/Inputs!$C$4)</f>
        <v/>
      </c>
      <c r="C25" s="18" t="str">
        <f>IF(A25="","",(Inputs!$C$3*Inputs!$C$2)/Inputs!$C$4)</f>
        <v/>
      </c>
      <c r="D25" s="18" t="str">
        <f>IF(A25 = MAX($A$2:A1000), Inputs!$C$2, "")</f>
        <v/>
      </c>
      <c r="E25" s="18" t="str">
        <f t="shared" si="1"/>
        <v/>
      </c>
    </row>
    <row r="26">
      <c r="B26" s="18" t="str">
        <f>IF(A26="","",A26/Inputs!$C$4)</f>
        <v/>
      </c>
      <c r="C26" s="18" t="str">
        <f>IF(A26="","",(Inputs!$C$3*Inputs!$C$2)/Inputs!$C$4)</f>
        <v/>
      </c>
      <c r="D26" s="18" t="str">
        <f>IF(A26 = MAX($A$2:A1000), Inputs!$C$2, "")</f>
        <v/>
      </c>
      <c r="E26" s="18" t="str">
        <f t="shared" si="1"/>
        <v/>
      </c>
    </row>
    <row r="27">
      <c r="B27" s="18" t="str">
        <f>IF(A27="","",A27/Inputs!$C$4)</f>
        <v/>
      </c>
      <c r="C27" s="18" t="str">
        <f>IF(A27="","",(Inputs!$C$3*Inputs!$C$2)/Inputs!$C$4)</f>
        <v/>
      </c>
      <c r="D27" s="18" t="str">
        <f>IF(A27 = MAX($A$2:A1000), Inputs!$C$2, "")</f>
        <v/>
      </c>
      <c r="E27" s="18" t="str">
        <f t="shared" si="1"/>
        <v/>
      </c>
    </row>
    <row r="28">
      <c r="B28" s="18" t="str">
        <f>IF(A28="","",A28/Inputs!$C$4)</f>
        <v/>
      </c>
      <c r="C28" s="18" t="str">
        <f>IF(A28="","",(Inputs!$C$3*Inputs!$C$2)/Inputs!$C$4)</f>
        <v/>
      </c>
      <c r="D28" s="18" t="str">
        <f>IF(A28 = MAX($A$2:A1000), Inputs!$C$2, "")</f>
        <v/>
      </c>
      <c r="E28" s="18" t="str">
        <f t="shared" si="1"/>
        <v/>
      </c>
    </row>
    <row r="29">
      <c r="B29" s="18" t="str">
        <f>IF(A29="","",A29/Inputs!$C$4)</f>
        <v/>
      </c>
      <c r="C29" s="18" t="str">
        <f>IF(A29="","",(Inputs!$C$3*Inputs!$C$2)/Inputs!$C$4)</f>
        <v/>
      </c>
      <c r="D29" s="18" t="str">
        <f>IF(A29 = MAX($A$2:A1000), Inputs!$C$2, "")</f>
        <v/>
      </c>
      <c r="E29" s="18" t="str">
        <f t="shared" si="1"/>
        <v/>
      </c>
    </row>
    <row r="30">
      <c r="B30" s="18" t="str">
        <f>IF(A30="","",A30/Inputs!$C$4)</f>
        <v/>
      </c>
      <c r="C30" s="18" t="str">
        <f>IF(A30="","",(Inputs!$C$3*Inputs!$C$2)/Inputs!$C$4)</f>
        <v/>
      </c>
      <c r="D30" s="18" t="str">
        <f>IF(A30 = MAX($A$2:A1000), Inputs!$C$2, "")</f>
        <v/>
      </c>
      <c r="E30" s="18" t="str">
        <f t="shared" si="1"/>
        <v/>
      </c>
    </row>
    <row r="31">
      <c r="B31" s="18" t="str">
        <f>IF(A31="","",A31/Inputs!$C$4)</f>
        <v/>
      </c>
      <c r="C31" s="18" t="str">
        <f>IF(A31="","",(Inputs!$C$3*Inputs!$C$2)/Inputs!$C$4)</f>
        <v/>
      </c>
      <c r="D31" s="18" t="str">
        <f>IF(A31 = MAX($A$2:A1000), Inputs!$C$2, "")</f>
        <v/>
      </c>
      <c r="E31" s="18" t="str">
        <f t="shared" si="1"/>
        <v/>
      </c>
    </row>
    <row r="32">
      <c r="B32" s="18" t="str">
        <f>IF(A32="","",A32/Inputs!$C$4)</f>
        <v/>
      </c>
      <c r="C32" s="18" t="str">
        <f>IF(A32="","",(Inputs!$C$3*Inputs!$C$2)/Inputs!$C$4)</f>
        <v/>
      </c>
      <c r="D32" s="18" t="str">
        <f>IF(A32 = MAX($A$2:A1000), Inputs!$C$2, "")</f>
        <v/>
      </c>
      <c r="E32" s="18" t="str">
        <f t="shared" si="1"/>
        <v/>
      </c>
    </row>
    <row r="33">
      <c r="B33" s="18" t="str">
        <f>IF(A33="","",A33/Inputs!$C$4)</f>
        <v/>
      </c>
      <c r="C33" s="18" t="str">
        <f>IF(A33="","",(Inputs!$C$3*Inputs!$C$2)/Inputs!$C$4)</f>
        <v/>
      </c>
      <c r="D33" s="18" t="str">
        <f>IF(A33 = MAX($A$2:A1000), Inputs!$C$2, "")</f>
        <v/>
      </c>
      <c r="E33" s="18" t="str">
        <f t="shared" si="1"/>
        <v/>
      </c>
    </row>
    <row r="34">
      <c r="B34" s="18" t="str">
        <f>IF(A34="","",A34/Inputs!$C$4)</f>
        <v/>
      </c>
      <c r="C34" s="18" t="str">
        <f>IF(A34="","",(Inputs!$C$3*Inputs!$C$2)/Inputs!$C$4)</f>
        <v/>
      </c>
      <c r="D34" s="18" t="str">
        <f>IF(A34 = MAX($A$2:A1000), Inputs!$C$2, "")</f>
        <v/>
      </c>
      <c r="E34" s="18" t="str">
        <f t="shared" si="1"/>
        <v/>
      </c>
    </row>
    <row r="35">
      <c r="B35" s="18" t="str">
        <f>IF(A35="","",A35/Inputs!$C$4)</f>
        <v/>
      </c>
      <c r="C35" s="18" t="str">
        <f>IF(A35="","",(Inputs!$C$3*Inputs!$C$2)/Inputs!$C$4)</f>
        <v/>
      </c>
      <c r="D35" s="18" t="str">
        <f>IF(A35 = MAX($A$2:A1000), Inputs!$C$2, "")</f>
        <v/>
      </c>
      <c r="E35" s="18" t="str">
        <f t="shared" si="1"/>
        <v/>
      </c>
    </row>
    <row r="36">
      <c r="B36" s="18" t="str">
        <f>IF(A36="","",A36/Inputs!$C$4)</f>
        <v/>
      </c>
      <c r="C36" s="18" t="str">
        <f>IF(A36="","",(Inputs!$C$3*Inputs!$C$2)/Inputs!$C$4)</f>
        <v/>
      </c>
      <c r="D36" s="18" t="str">
        <f>IF(A36 = MAX($A$2:A1000), Inputs!$C$2, "")</f>
        <v/>
      </c>
      <c r="E36" s="18" t="str">
        <f t="shared" si="1"/>
        <v/>
      </c>
    </row>
    <row r="37">
      <c r="B37" s="18" t="str">
        <f>IF(A37="","",A37/Inputs!$C$4)</f>
        <v/>
      </c>
      <c r="C37" s="18" t="str">
        <f>IF(A37="","",(Inputs!$C$3*Inputs!$C$2)/Inputs!$C$4)</f>
        <v/>
      </c>
      <c r="D37" s="18" t="str">
        <f>IF(A37 = MAX($A$2:A1000), Inputs!$C$2, "")</f>
        <v/>
      </c>
      <c r="E37" s="18" t="str">
        <f t="shared" si="1"/>
        <v/>
      </c>
    </row>
    <row r="38">
      <c r="B38" s="18" t="str">
        <f>IF(A38="","",A38/Inputs!$C$4)</f>
        <v/>
      </c>
      <c r="C38" s="18" t="str">
        <f>IF(A38="","",(Inputs!$C$3*Inputs!$C$2)/Inputs!$C$4)</f>
        <v/>
      </c>
      <c r="D38" s="18" t="str">
        <f>IF(A38 = MAX($A$2:A1000), Inputs!$C$2, "")</f>
        <v/>
      </c>
      <c r="E38" s="18" t="str">
        <f t="shared" si="1"/>
        <v/>
      </c>
    </row>
    <row r="39">
      <c r="B39" s="18" t="str">
        <f>IF(A39="","",A39/Inputs!$C$4)</f>
        <v/>
      </c>
      <c r="C39" s="18" t="str">
        <f>IF(A39="","",(Inputs!$C$3*Inputs!$C$2)/Inputs!$C$4)</f>
        <v/>
      </c>
      <c r="D39" s="18" t="str">
        <f>IF(A39 = MAX($A$2:A1000), Inputs!$C$2, "")</f>
        <v/>
      </c>
      <c r="E39" s="18" t="str">
        <f t="shared" si="1"/>
        <v/>
      </c>
    </row>
    <row r="40">
      <c r="B40" s="18" t="str">
        <f>IF(A40="","",A40/Inputs!$C$4)</f>
        <v/>
      </c>
      <c r="C40" s="18" t="str">
        <f>IF(A40="","",(Inputs!$C$3*Inputs!$C$2)/Inputs!$C$4)</f>
        <v/>
      </c>
      <c r="D40" s="18" t="str">
        <f>IF(A40 = MAX($A$2:A1000), Inputs!$C$2, "")</f>
        <v/>
      </c>
      <c r="E40" s="18" t="str">
        <f t="shared" si="1"/>
        <v/>
      </c>
    </row>
    <row r="41">
      <c r="B41" s="18" t="str">
        <f>IF(A41="","",A41/Inputs!$C$4)</f>
        <v/>
      </c>
      <c r="C41" s="18" t="str">
        <f>IF(A41="","",(Inputs!$C$3*Inputs!$C$2)/Inputs!$C$4)</f>
        <v/>
      </c>
      <c r="D41" s="18" t="str">
        <f>IF(A41 = MAX($A$2:A1000), Inputs!$C$2, "")</f>
        <v/>
      </c>
      <c r="E41" s="18" t="str">
        <f t="shared" si="1"/>
        <v/>
      </c>
    </row>
    <row r="42">
      <c r="B42" s="18" t="str">
        <f>IF(A42="","",A42/Inputs!$C$4)</f>
        <v/>
      </c>
      <c r="C42" s="18" t="str">
        <f>IF(A42="","",(Inputs!$C$3*Inputs!$C$2)/Inputs!$C$4)</f>
        <v/>
      </c>
      <c r="D42" s="18" t="str">
        <f>IF(A42 = MAX($A$2:A1000), Inputs!$C$2, "")</f>
        <v/>
      </c>
      <c r="E42" s="18" t="str">
        <f t="shared" si="1"/>
        <v/>
      </c>
    </row>
    <row r="43">
      <c r="B43" s="18" t="str">
        <f>IF(A43="","",A43/Inputs!$C$4)</f>
        <v/>
      </c>
      <c r="C43" s="18" t="str">
        <f>IF(A43="","",(Inputs!$C$3*Inputs!$C$2)/Inputs!$C$4)</f>
        <v/>
      </c>
      <c r="D43" s="18" t="str">
        <f>IF(A43 = MAX($A$2:A1000), Inputs!$C$2, "")</f>
        <v/>
      </c>
      <c r="E43" s="18" t="str">
        <f t="shared" si="1"/>
        <v/>
      </c>
    </row>
    <row r="44">
      <c r="B44" s="18" t="str">
        <f>IF(A44="","",A44/Inputs!$C$4)</f>
        <v/>
      </c>
      <c r="C44" s="18" t="str">
        <f>IF(A44="","",(Inputs!$C$3*Inputs!$C$2)/Inputs!$C$4)</f>
        <v/>
      </c>
      <c r="D44" s="18" t="str">
        <f>IF(A44 = MAX($A$2:A1000), Inputs!$C$2, "")</f>
        <v/>
      </c>
      <c r="E44" s="18" t="str">
        <f t="shared" si="1"/>
        <v/>
      </c>
    </row>
    <row r="45">
      <c r="B45" s="18" t="str">
        <f>IF(A45="","",A45/Inputs!$C$4)</f>
        <v/>
      </c>
      <c r="C45" s="18" t="str">
        <f>IF(A45="","",(Inputs!$C$3*Inputs!$C$2)/Inputs!$C$4)</f>
        <v/>
      </c>
      <c r="D45" s="18" t="str">
        <f>IF(A45 = MAX($A$2:A1000), Inputs!$C$2, "")</f>
        <v/>
      </c>
      <c r="E45" s="18" t="str">
        <f t="shared" si="1"/>
        <v/>
      </c>
    </row>
    <row r="46">
      <c r="B46" s="18" t="str">
        <f>IF(A46="","",A46/Inputs!$C$4)</f>
        <v/>
      </c>
      <c r="C46" s="18" t="str">
        <f>IF(A46="","",(Inputs!$C$3*Inputs!$C$2)/Inputs!$C$4)</f>
        <v/>
      </c>
      <c r="D46" s="18" t="str">
        <f>IF(A46 = MAX($A$2:A1000), Inputs!$C$2, "")</f>
        <v/>
      </c>
      <c r="E46" s="18" t="str">
        <f t="shared" si="1"/>
        <v/>
      </c>
    </row>
    <row r="47">
      <c r="B47" s="18" t="str">
        <f>IF(A47="","",A47/Inputs!$C$4)</f>
        <v/>
      </c>
      <c r="C47" s="18" t="str">
        <f>IF(A47="","",(Inputs!$C$3*Inputs!$C$2)/Inputs!$C$4)</f>
        <v/>
      </c>
      <c r="D47" s="18" t="str">
        <f>IF(A47 = MAX($A$2:A1000), Inputs!$C$2, "")</f>
        <v/>
      </c>
      <c r="E47" s="18" t="str">
        <f t="shared" si="1"/>
        <v/>
      </c>
    </row>
    <row r="48">
      <c r="B48" s="18" t="str">
        <f>IF(A48="","",A48/Inputs!$C$4)</f>
        <v/>
      </c>
      <c r="C48" s="18" t="str">
        <f>IF(A48="","",(Inputs!$C$3*Inputs!$C$2)/Inputs!$C$4)</f>
        <v/>
      </c>
      <c r="D48" s="18" t="str">
        <f>IF(A48 = MAX($A$2:A1000), Inputs!$C$2, "")</f>
        <v/>
      </c>
      <c r="E48" s="18" t="str">
        <f t="shared" si="1"/>
        <v/>
      </c>
    </row>
    <row r="49">
      <c r="B49" s="18" t="str">
        <f>IF(A49="","",A49/Inputs!$C$4)</f>
        <v/>
      </c>
      <c r="C49" s="18" t="str">
        <f>IF(A49="","",(Inputs!$C$3*Inputs!$C$2)/Inputs!$C$4)</f>
        <v/>
      </c>
      <c r="D49" s="18" t="str">
        <f>IF(A49 = MAX($A$2:A1000), Inputs!$C$2, "")</f>
        <v/>
      </c>
      <c r="E49" s="18" t="str">
        <f t="shared" si="1"/>
        <v/>
      </c>
    </row>
    <row r="50">
      <c r="B50" s="18" t="str">
        <f>IF(A50="","",A50/Inputs!$C$4)</f>
        <v/>
      </c>
      <c r="C50" s="18" t="str">
        <f>IF(A50="","",(Inputs!$C$3*Inputs!$C$2)/Inputs!$C$4)</f>
        <v/>
      </c>
      <c r="D50" s="18" t="str">
        <f>IF(A50 = MAX($A$2:A1000), Inputs!$C$2, "")</f>
        <v/>
      </c>
      <c r="E50" s="18" t="str">
        <f t="shared" si="1"/>
        <v/>
      </c>
    </row>
    <row r="51">
      <c r="B51" s="18" t="str">
        <f>IF(A51="","",A51/Inputs!$C$4)</f>
        <v/>
      </c>
      <c r="C51" s="18" t="str">
        <f>IF(A51="","",(Inputs!$C$3*Inputs!$C$2)/Inputs!$C$4)</f>
        <v/>
      </c>
      <c r="D51" s="18" t="str">
        <f>IF(A51 = MAX($A$2:A1000), Inputs!$C$2, "")</f>
        <v/>
      </c>
      <c r="E51" s="18" t="str">
        <f t="shared" si="1"/>
        <v/>
      </c>
    </row>
    <row r="52">
      <c r="B52" s="18" t="str">
        <f>IF(A52="","",A52/Inputs!$C$4)</f>
        <v/>
      </c>
      <c r="C52" s="18" t="str">
        <f>IF(A52="","",(Inputs!$C$3*Inputs!$C$2)/Inputs!$C$4)</f>
        <v/>
      </c>
      <c r="D52" s="18" t="str">
        <f>IF(A52 = MAX($A$2:A1000), Inputs!$C$2, "")</f>
        <v/>
      </c>
      <c r="E52" s="18" t="str">
        <f t="shared" si="1"/>
        <v/>
      </c>
    </row>
    <row r="53">
      <c r="B53" s="18" t="str">
        <f>IF(A53="","",A53/Inputs!$C$4)</f>
        <v/>
      </c>
      <c r="C53" s="18" t="str">
        <f>IF(A53="","",(Inputs!$C$3*Inputs!$C$2)/Inputs!$C$4)</f>
        <v/>
      </c>
      <c r="D53" s="18" t="str">
        <f>IF(A53 = MAX($A$2:A1000), Inputs!$C$2, "")</f>
        <v/>
      </c>
      <c r="E53" s="18" t="str">
        <f t="shared" si="1"/>
        <v/>
      </c>
    </row>
    <row r="54">
      <c r="B54" s="18" t="str">
        <f>IF(A54="","",A54/Inputs!$C$4)</f>
        <v/>
      </c>
      <c r="C54" s="18" t="str">
        <f>IF(A54="","",(Inputs!$C$3*Inputs!$C$2)/Inputs!$C$4)</f>
        <v/>
      </c>
      <c r="D54" s="18" t="str">
        <f>IF(A54 = MAX($A$2:A1000), Inputs!$C$2, "")</f>
        <v/>
      </c>
      <c r="E54" s="18" t="str">
        <f t="shared" si="1"/>
        <v/>
      </c>
    </row>
    <row r="55">
      <c r="B55" s="18" t="str">
        <f>IF(A55="","",A55/Inputs!$C$4)</f>
        <v/>
      </c>
      <c r="C55" s="18" t="str">
        <f>IF(A55="","",(Inputs!$C$3*Inputs!$C$2)/Inputs!$C$4)</f>
        <v/>
      </c>
      <c r="D55" s="18" t="str">
        <f>IF(A55 = MAX($A$2:A1000), Inputs!$C$2, "")</f>
        <v/>
      </c>
      <c r="E55" s="18" t="str">
        <f t="shared" si="1"/>
        <v/>
      </c>
    </row>
    <row r="56">
      <c r="B56" s="18" t="str">
        <f>IF(A56="","",A56/Inputs!$C$4)</f>
        <v/>
      </c>
      <c r="C56" s="18" t="str">
        <f>IF(A56="","",(Inputs!$C$3*Inputs!$C$2)/Inputs!$C$4)</f>
        <v/>
      </c>
      <c r="D56" s="18" t="str">
        <f>IF(A56 = MAX($A$2:A1000), Inputs!$C$2, "")</f>
        <v/>
      </c>
      <c r="E56" s="18" t="str">
        <f t="shared" si="1"/>
        <v/>
      </c>
    </row>
    <row r="57">
      <c r="B57" s="18" t="str">
        <f>IF(A57="","",A57/Inputs!$C$4)</f>
        <v/>
      </c>
      <c r="C57" s="18" t="str">
        <f>IF(A57="","",(Inputs!$C$3*Inputs!$C$2)/Inputs!$C$4)</f>
        <v/>
      </c>
      <c r="D57" s="18" t="str">
        <f>IF(A57 = MAX($A$2:A1000), Inputs!$C$2, "")</f>
        <v/>
      </c>
      <c r="E57" s="18" t="str">
        <f t="shared" si="1"/>
        <v/>
      </c>
    </row>
    <row r="58">
      <c r="B58" s="18" t="str">
        <f>IF(A58="","",A58/Inputs!$C$4)</f>
        <v/>
      </c>
      <c r="C58" s="18" t="str">
        <f>IF(A58="","",(Inputs!$C$3*Inputs!$C$2)/Inputs!$C$4)</f>
        <v/>
      </c>
      <c r="D58" s="18" t="str">
        <f>IF(A58 = MAX($A$2:A1000), Inputs!$C$2, "")</f>
        <v/>
      </c>
      <c r="E58" s="18" t="str">
        <f t="shared" si="1"/>
        <v/>
      </c>
    </row>
    <row r="59">
      <c r="B59" s="18" t="str">
        <f>IF(A59="","",A59/Inputs!$C$4)</f>
        <v/>
      </c>
      <c r="C59" s="18" t="str">
        <f>IF(A59="","",(Inputs!$C$3*Inputs!$C$2)/Inputs!$C$4)</f>
        <v/>
      </c>
      <c r="D59" s="18" t="str">
        <f>IF(A59 = MAX($A$2:A1000), Inputs!$C$2, "")</f>
        <v/>
      </c>
      <c r="E59" s="18" t="str">
        <f t="shared" si="1"/>
        <v/>
      </c>
    </row>
    <row r="60">
      <c r="B60" s="18" t="str">
        <f>IF(A60="","",A60/Inputs!$C$4)</f>
        <v/>
      </c>
      <c r="C60" s="18" t="str">
        <f>IF(A60="","",(Inputs!$C$3*Inputs!$C$2)/Inputs!$C$4)</f>
        <v/>
      </c>
      <c r="D60" s="18" t="str">
        <f>IF(A60 = MAX($A$2:A1000), Inputs!$C$2, "")</f>
        <v/>
      </c>
      <c r="E60" s="18" t="str">
        <f t="shared" si="1"/>
        <v/>
      </c>
    </row>
    <row r="61">
      <c r="B61" s="18" t="str">
        <f>IF(A61="","",A61/Inputs!$C$4)</f>
        <v/>
      </c>
      <c r="C61" s="18" t="str">
        <f>IF(A61="","",(Inputs!$C$3*Inputs!$C$2)/Inputs!$C$4)</f>
        <v/>
      </c>
      <c r="D61" s="18" t="str">
        <f>IF(A61 = MAX($A$2:A1000), Inputs!$C$2, "")</f>
        <v/>
      </c>
      <c r="E61" s="18" t="str">
        <f t="shared" si="1"/>
        <v/>
      </c>
    </row>
    <row r="62">
      <c r="B62" s="18" t="str">
        <f>IF(A62="","",A62/Inputs!$C$4)</f>
        <v/>
      </c>
      <c r="C62" s="18" t="str">
        <f>IF(A62="","",(Inputs!$C$3*Inputs!$C$2)/Inputs!$C$4)</f>
        <v/>
      </c>
      <c r="D62" s="18" t="str">
        <f>IF(A62 = MAX($A$2:A1000), Inputs!$C$2, "")</f>
        <v/>
      </c>
      <c r="E62" s="18" t="str">
        <f t="shared" si="1"/>
        <v/>
      </c>
    </row>
    <row r="63">
      <c r="B63" s="18" t="str">
        <f>IF(A63="","",A63/Inputs!$C$4)</f>
        <v/>
      </c>
      <c r="C63" s="18" t="str">
        <f>IF(A63="","",(Inputs!$C$3*Inputs!$C$2)/Inputs!$C$4)</f>
        <v/>
      </c>
      <c r="D63" s="18" t="str">
        <f>IF(A63 = MAX($A$2:A1000), Inputs!$C$2, "")</f>
        <v/>
      </c>
      <c r="E63" s="18" t="str">
        <f t="shared" si="1"/>
        <v/>
      </c>
    </row>
    <row r="64">
      <c r="B64" s="18" t="str">
        <f>IF(A64="","",A64/Inputs!$C$4)</f>
        <v/>
      </c>
      <c r="C64" s="18" t="str">
        <f>IF(A64="","",(Inputs!$C$3*Inputs!$C$2)/Inputs!$C$4)</f>
        <v/>
      </c>
      <c r="D64" s="18" t="str">
        <f>IF(A64 = MAX($A$2:A1000), Inputs!$C$2, "")</f>
        <v/>
      </c>
      <c r="E64" s="18" t="str">
        <f t="shared" si="1"/>
        <v/>
      </c>
    </row>
    <row r="65">
      <c r="B65" s="18" t="str">
        <f>IF(A65="","",A65/Inputs!$C$4)</f>
        <v/>
      </c>
      <c r="C65" s="18" t="str">
        <f>IF(A65="","",(Inputs!$C$3*Inputs!$C$2)/Inputs!$C$4)</f>
        <v/>
      </c>
      <c r="D65" s="18" t="str">
        <f>IF(A65 = MAX($A$2:A1000), Inputs!$C$2, "")</f>
        <v/>
      </c>
      <c r="E65" s="18" t="str">
        <f t="shared" si="1"/>
        <v/>
      </c>
    </row>
    <row r="66">
      <c r="B66" s="18" t="str">
        <f>IF(A66="","",A66/Inputs!$C$4)</f>
        <v/>
      </c>
      <c r="C66" s="18" t="str">
        <f>IF(A66="","",(Inputs!$C$3*Inputs!$C$2)/Inputs!$C$4)</f>
        <v/>
      </c>
      <c r="D66" s="18" t="str">
        <f>IF(A66 = MAX($A$2:A1000), Inputs!$C$2, "")</f>
        <v/>
      </c>
      <c r="E66" s="18" t="str">
        <f t="shared" si="1"/>
        <v/>
      </c>
    </row>
    <row r="67">
      <c r="B67" s="18" t="str">
        <f>IF(A67="","",A67/Inputs!$C$4)</f>
        <v/>
      </c>
      <c r="C67" s="18" t="str">
        <f>IF(A67="","",(Inputs!$C$3*Inputs!$C$2)/Inputs!$C$4)</f>
        <v/>
      </c>
      <c r="D67" s="18" t="str">
        <f>IF(A67 = MAX($A$2:A1000), Inputs!$C$2, "")</f>
        <v/>
      </c>
      <c r="E67" s="18" t="str">
        <f t="shared" si="1"/>
        <v/>
      </c>
    </row>
    <row r="68">
      <c r="B68" s="18" t="str">
        <f>IF(A68="","",A68/Inputs!$C$4)</f>
        <v/>
      </c>
      <c r="C68" s="18" t="str">
        <f>IF(A68="","",(Inputs!$C$3*Inputs!$C$2)/Inputs!$C$4)</f>
        <v/>
      </c>
      <c r="D68" s="18" t="str">
        <f>IF(A68 = MAX($A$2:A1000), Inputs!$C$2, "")</f>
        <v/>
      </c>
      <c r="E68" s="18" t="str">
        <f t="shared" si="1"/>
        <v/>
      </c>
    </row>
    <row r="69">
      <c r="B69" s="18" t="str">
        <f>IF(A69="","",A69/Inputs!$C$4)</f>
        <v/>
      </c>
      <c r="C69" s="18" t="str">
        <f>IF(A69="","",(Inputs!$C$3*Inputs!$C$2)/Inputs!$C$4)</f>
        <v/>
      </c>
      <c r="D69" s="18" t="str">
        <f>IF(A69 = MAX($A$2:A1000), Inputs!$C$2, "")</f>
        <v/>
      </c>
      <c r="E69" s="18" t="str">
        <f t="shared" si="1"/>
        <v/>
      </c>
    </row>
    <row r="70">
      <c r="B70" s="18" t="str">
        <f>IF(A70="","",A70/Inputs!$C$4)</f>
        <v/>
      </c>
      <c r="C70" s="18" t="str">
        <f>IF(A70="","",(Inputs!$C$3*Inputs!$C$2)/Inputs!$C$4)</f>
        <v/>
      </c>
      <c r="D70" s="18" t="str">
        <f>IF(A70 = MAX($A$2:A1000), Inputs!$C$2, "")</f>
        <v/>
      </c>
      <c r="E70" s="18" t="str">
        <f t="shared" si="1"/>
        <v/>
      </c>
    </row>
    <row r="71">
      <c r="B71" s="18" t="str">
        <f>IF(A71="","",A71/Inputs!$C$4)</f>
        <v/>
      </c>
      <c r="C71" s="18" t="str">
        <f>IF(A71="","",(Inputs!$C$3*Inputs!$C$2)/Inputs!$C$4)</f>
        <v/>
      </c>
      <c r="D71" s="18" t="str">
        <f>IF(A71 = MAX($A$2:A1000), Inputs!$C$2, "")</f>
        <v/>
      </c>
      <c r="E71" s="18" t="str">
        <f t="shared" si="1"/>
        <v/>
      </c>
    </row>
    <row r="72">
      <c r="B72" s="18" t="str">
        <f>IF(A72="","",A72/Inputs!$C$4)</f>
        <v/>
      </c>
      <c r="C72" s="18" t="str">
        <f>IF(A72="","",(Inputs!$C$3*Inputs!$C$2)/Inputs!$C$4)</f>
        <v/>
      </c>
      <c r="D72" s="18" t="str">
        <f>IF(A72 = MAX($A$2:A1000), Inputs!$C$2, "")</f>
        <v/>
      </c>
      <c r="E72" s="18" t="str">
        <f t="shared" si="1"/>
        <v/>
      </c>
    </row>
    <row r="73">
      <c r="B73" s="18" t="str">
        <f>IF(A73="","",A73/Inputs!$C$4)</f>
        <v/>
      </c>
      <c r="C73" s="18" t="str">
        <f>IF(A73="","",(Inputs!$C$3*Inputs!$C$2)/Inputs!$C$4)</f>
        <v/>
      </c>
      <c r="D73" s="18" t="str">
        <f>IF(A73 = MAX($A$2:A1000), Inputs!$C$2, "")</f>
        <v/>
      </c>
      <c r="E73" s="18" t="str">
        <f t="shared" si="1"/>
        <v/>
      </c>
    </row>
    <row r="74">
      <c r="B74" s="18" t="str">
        <f>IF(A74="","",A74/Inputs!$C$4)</f>
        <v/>
      </c>
      <c r="C74" s="18" t="str">
        <f>IF(A74="","",(Inputs!$C$3*Inputs!$C$2)/Inputs!$C$4)</f>
        <v/>
      </c>
      <c r="D74" s="18" t="str">
        <f>IF(A74 = MAX($A$2:A1000), Inputs!$C$2, "")</f>
        <v/>
      </c>
      <c r="E74" s="18" t="str">
        <f t="shared" si="1"/>
        <v/>
      </c>
    </row>
    <row r="75">
      <c r="B75" s="18" t="str">
        <f>IF(A75="","",A75/Inputs!$C$4)</f>
        <v/>
      </c>
      <c r="C75" s="18" t="str">
        <f>IF(A75="","",(Inputs!$C$3*Inputs!$C$2)/Inputs!$C$4)</f>
        <v/>
      </c>
      <c r="D75" s="18" t="str">
        <f>IF(A75 = MAX($A$2:A1000), Inputs!$C$2, "")</f>
        <v/>
      </c>
      <c r="E75" s="18" t="str">
        <f t="shared" si="1"/>
        <v/>
      </c>
    </row>
    <row r="76">
      <c r="B76" s="18" t="str">
        <f>IF(A76="","",A76/Inputs!$C$4)</f>
        <v/>
      </c>
      <c r="C76" s="18" t="str">
        <f>IF(A76="","",(Inputs!$C$3*Inputs!$C$2)/Inputs!$C$4)</f>
        <v/>
      </c>
      <c r="D76" s="18" t="str">
        <f>IF(A76 = MAX($A$2:A1000), Inputs!$C$2, "")</f>
        <v/>
      </c>
      <c r="E76" s="18" t="str">
        <f t="shared" si="1"/>
        <v/>
      </c>
    </row>
    <row r="77">
      <c r="B77" s="18" t="str">
        <f>IF(A77="","",A77/Inputs!$C$4)</f>
        <v/>
      </c>
      <c r="C77" s="18" t="str">
        <f>IF(A77="","",(Inputs!$C$3*Inputs!$C$2)/Inputs!$C$4)</f>
        <v/>
      </c>
      <c r="D77" s="18" t="str">
        <f>IF(A77 = MAX($A$2:A1000), Inputs!$C$2, "")</f>
        <v/>
      </c>
      <c r="E77" s="18" t="str">
        <f t="shared" si="1"/>
        <v/>
      </c>
    </row>
    <row r="78">
      <c r="B78" s="18" t="str">
        <f>IF(A78="","",A78/Inputs!$C$4)</f>
        <v/>
      </c>
      <c r="C78" s="18" t="str">
        <f>IF(A78="","",(Inputs!$C$3*Inputs!$C$2)/Inputs!$C$4)</f>
        <v/>
      </c>
      <c r="D78" s="18" t="str">
        <f>IF(A78 = MAX($A$2:A1000), Inputs!$C$2, "")</f>
        <v/>
      </c>
      <c r="E78" s="18" t="str">
        <f t="shared" si="1"/>
        <v/>
      </c>
    </row>
    <row r="79">
      <c r="B79" s="18" t="str">
        <f>IF(A79="","",A79/Inputs!$C$4)</f>
        <v/>
      </c>
      <c r="C79" s="18" t="str">
        <f>IF(A79="","",(Inputs!$C$3*Inputs!$C$2)/Inputs!$C$4)</f>
        <v/>
      </c>
      <c r="D79" s="18" t="str">
        <f>IF(A79 = MAX($A$2:A1000), Inputs!$C$2, "")</f>
        <v/>
      </c>
      <c r="E79" s="18" t="str">
        <f t="shared" si="1"/>
        <v/>
      </c>
    </row>
    <row r="80">
      <c r="B80" s="18" t="str">
        <f>IF(A80="","",A80/Inputs!$C$4)</f>
        <v/>
      </c>
      <c r="C80" s="18" t="str">
        <f>IF(A80="","",(Inputs!$C$3*Inputs!$C$2)/Inputs!$C$4)</f>
        <v/>
      </c>
      <c r="D80" s="18" t="str">
        <f>IF(A80 = MAX($A$2:A1000), Inputs!$C$2, "")</f>
        <v/>
      </c>
      <c r="E80" s="18" t="str">
        <f t="shared" si="1"/>
        <v/>
      </c>
    </row>
    <row r="81">
      <c r="B81" s="18" t="str">
        <f>IF(A81="","",A81/Inputs!$C$4)</f>
        <v/>
      </c>
      <c r="C81" s="18" t="str">
        <f>IF(A81="","",(Inputs!$C$3*Inputs!$C$2)/Inputs!$C$4)</f>
        <v/>
      </c>
      <c r="D81" s="18" t="str">
        <f>IF(A81 = MAX($A$2:A1000), Inputs!$C$2, "")</f>
        <v/>
      </c>
      <c r="E81" s="18" t="str">
        <f t="shared" si="1"/>
        <v/>
      </c>
    </row>
    <row r="82">
      <c r="B82" s="18" t="str">
        <f>IF(A82="","",A82/Inputs!$C$4)</f>
        <v/>
      </c>
      <c r="C82" s="18" t="str">
        <f>IF(A82="","",(Inputs!$C$3*Inputs!$C$2)/Inputs!$C$4)</f>
        <v/>
      </c>
      <c r="D82" s="18" t="str">
        <f>IF(A82 = MAX($A$2:A1000), Inputs!$C$2, "")</f>
        <v/>
      </c>
      <c r="E82" s="18" t="str">
        <f t="shared" si="1"/>
        <v/>
      </c>
    </row>
    <row r="83">
      <c r="B83" s="18" t="str">
        <f>IF(A83="","",A83/Inputs!$C$4)</f>
        <v/>
      </c>
      <c r="C83" s="18" t="str">
        <f>IF(A83="","",(Inputs!$C$3*Inputs!$C$2)/Inputs!$C$4)</f>
        <v/>
      </c>
      <c r="D83" s="18" t="str">
        <f>IF(A83 = MAX($A$2:A1000), Inputs!$C$2, "")</f>
        <v/>
      </c>
      <c r="E83" s="18" t="str">
        <f t="shared" si="1"/>
        <v/>
      </c>
    </row>
    <row r="84">
      <c r="B84" s="18" t="str">
        <f>IF(A84="","",A84/Inputs!$C$4)</f>
        <v/>
      </c>
      <c r="C84" s="18" t="str">
        <f>IF(A84="","",(Inputs!$C$3*Inputs!$C$2)/Inputs!$C$4)</f>
        <v/>
      </c>
      <c r="D84" s="18" t="str">
        <f>IF(A84 = MAX($A$2:A1000), Inputs!$C$2, "")</f>
        <v/>
      </c>
      <c r="E84" s="18" t="str">
        <f t="shared" si="1"/>
        <v/>
      </c>
    </row>
    <row r="85">
      <c r="B85" s="18" t="str">
        <f>IF(A85="","",A85/Inputs!$C$4)</f>
        <v/>
      </c>
      <c r="C85" s="18" t="str">
        <f>IF(A85="","",(Inputs!$C$3*Inputs!$C$2)/Inputs!$C$4)</f>
        <v/>
      </c>
      <c r="D85" s="18" t="str">
        <f>IF(A85 = MAX($A$2:A1000), Inputs!$C$2, "")</f>
        <v/>
      </c>
      <c r="E85" s="18" t="str">
        <f t="shared" si="1"/>
        <v/>
      </c>
    </row>
    <row r="86">
      <c r="B86" s="18" t="str">
        <f>IF(A86="","",A86/Inputs!$C$4)</f>
        <v/>
      </c>
      <c r="C86" s="18" t="str">
        <f>IF(A86="","",(Inputs!$C$3*Inputs!$C$2)/Inputs!$C$4)</f>
        <v/>
      </c>
      <c r="D86" s="18" t="str">
        <f>IF(A86 = MAX($A$2:A1000), Inputs!$C$2, "")</f>
        <v/>
      </c>
      <c r="E86" s="18" t="str">
        <f t="shared" si="1"/>
        <v/>
      </c>
    </row>
    <row r="87">
      <c r="B87" s="18" t="str">
        <f>IF(A87="","",A87/Inputs!$C$4)</f>
        <v/>
      </c>
      <c r="C87" s="18" t="str">
        <f>IF(A87="","",(Inputs!$C$3*Inputs!$C$2)/Inputs!$C$4)</f>
        <v/>
      </c>
      <c r="D87" s="18" t="str">
        <f>IF(A87 = MAX($A$2:A1000), Inputs!$C$2, "")</f>
        <v/>
      </c>
      <c r="E87" s="18" t="str">
        <f t="shared" si="1"/>
        <v/>
      </c>
    </row>
    <row r="88">
      <c r="B88" s="18" t="str">
        <f>IF(A88="","",A88/Inputs!$C$4)</f>
        <v/>
      </c>
      <c r="C88" s="18" t="str">
        <f>IF(A88="","",(Inputs!$C$3*Inputs!$C$2)/Inputs!$C$4)</f>
        <v/>
      </c>
      <c r="D88" s="18" t="str">
        <f>IF(A88 = MAX($A$2:A1000), Inputs!$C$2, "")</f>
        <v/>
      </c>
      <c r="E88" s="18" t="str">
        <f t="shared" si="1"/>
        <v/>
      </c>
    </row>
    <row r="89">
      <c r="B89" s="18" t="str">
        <f>IF(A89="","",A89/Inputs!$C$4)</f>
        <v/>
      </c>
      <c r="C89" s="18" t="str">
        <f>IF(A89="","",(Inputs!$C$3*Inputs!$C$2)/Inputs!$C$4)</f>
        <v/>
      </c>
      <c r="D89" s="18" t="str">
        <f>IF(A89 = MAX($A$2:A1000), Inputs!$C$2, "")</f>
        <v/>
      </c>
      <c r="E89" s="18" t="str">
        <f t="shared" si="1"/>
        <v/>
      </c>
    </row>
    <row r="90">
      <c r="B90" s="18" t="str">
        <f>IF(A90="","",A90/Inputs!$C$4)</f>
        <v/>
      </c>
      <c r="C90" s="18" t="str">
        <f>IF(A90="","",(Inputs!$C$3*Inputs!$C$2)/Inputs!$C$4)</f>
        <v/>
      </c>
      <c r="D90" s="18" t="str">
        <f>IF(A90 = MAX($A$2:A1000), Inputs!$C$2, "")</f>
        <v/>
      </c>
      <c r="E90" s="18" t="str">
        <f t="shared" si="1"/>
        <v/>
      </c>
    </row>
    <row r="91">
      <c r="B91" s="18" t="str">
        <f>IF(A91="","",A91/Inputs!$C$4)</f>
        <v/>
      </c>
      <c r="C91" s="18" t="str">
        <f>IF(A91="","",(Inputs!$C$3*Inputs!$C$2)/Inputs!$C$4)</f>
        <v/>
      </c>
      <c r="D91" s="18" t="str">
        <f>IF(A91 = MAX($A$2:A1000), Inputs!$C$2, "")</f>
        <v/>
      </c>
      <c r="E91" s="18" t="str">
        <f t="shared" si="1"/>
        <v/>
      </c>
    </row>
    <row r="92">
      <c r="B92" s="18" t="str">
        <f>IF(A92="","",A92/Inputs!$C$4)</f>
        <v/>
      </c>
      <c r="C92" s="18" t="str">
        <f>IF(A92="","",(Inputs!$C$3*Inputs!$C$2)/Inputs!$C$4)</f>
        <v/>
      </c>
      <c r="D92" s="18" t="str">
        <f>IF(A92 = MAX($A$2:A1000), Inputs!$C$2, "")</f>
        <v/>
      </c>
      <c r="E92" s="18" t="str">
        <f t="shared" si="1"/>
        <v/>
      </c>
    </row>
    <row r="93">
      <c r="B93" s="18" t="str">
        <f>IF(A93="","",A93/Inputs!$C$4)</f>
        <v/>
      </c>
      <c r="C93" s="18" t="str">
        <f>IF(A93="","",(Inputs!$C$3*Inputs!$C$2)/Inputs!$C$4)</f>
        <v/>
      </c>
      <c r="D93" s="18" t="str">
        <f>IF(A93 = MAX($A$2:A1000), Inputs!$C$2, "")</f>
        <v/>
      </c>
      <c r="E93" s="18" t="str">
        <f t="shared" si="1"/>
        <v/>
      </c>
    </row>
    <row r="94">
      <c r="B94" s="18" t="str">
        <f>IF(A94="","",A94/Inputs!$C$4)</f>
        <v/>
      </c>
      <c r="C94" s="18" t="str">
        <f>IF(A94="","",(Inputs!$C$3*Inputs!$C$2)/Inputs!$C$4)</f>
        <v/>
      </c>
      <c r="D94" s="18" t="str">
        <f>IF(A94 = MAX($A$2:A1000), Inputs!$C$2, "")</f>
        <v/>
      </c>
      <c r="E94" s="18" t="str">
        <f t="shared" si="1"/>
        <v/>
      </c>
    </row>
    <row r="95">
      <c r="B95" s="18" t="str">
        <f>IF(A95="","",A95/Inputs!$C$4)</f>
        <v/>
      </c>
      <c r="C95" s="18" t="str">
        <f>IF(A95="","",(Inputs!$C$3*Inputs!$C$2)/Inputs!$C$4)</f>
        <v/>
      </c>
      <c r="D95" s="18" t="str">
        <f>IF(A95 = MAX($A$2:A1000), Inputs!$C$2, "")</f>
        <v/>
      </c>
      <c r="E95" s="18" t="str">
        <f t="shared" si="1"/>
        <v/>
      </c>
    </row>
    <row r="96">
      <c r="B96" s="18" t="str">
        <f>IF(A96="","",A96/Inputs!$C$4)</f>
        <v/>
      </c>
      <c r="C96" s="18" t="str">
        <f>IF(A96="","",(Inputs!$C$3*Inputs!$C$2)/Inputs!$C$4)</f>
        <v/>
      </c>
      <c r="D96" s="18" t="str">
        <f>IF(A96 = MAX($A$2:A1000), Inputs!$C$2, "")</f>
        <v/>
      </c>
      <c r="E96" s="18" t="str">
        <f t="shared" si="1"/>
        <v/>
      </c>
    </row>
    <row r="97">
      <c r="B97" s="18" t="str">
        <f>IF(A97="","",A97/Inputs!$C$4)</f>
        <v/>
      </c>
      <c r="C97" s="18" t="str">
        <f>IF(A97="","",(Inputs!$C$3*Inputs!$C$2)/Inputs!$C$4)</f>
        <v/>
      </c>
      <c r="D97" s="18" t="str">
        <f>IF(A97 = MAX($A$2:A1000), Inputs!$C$2, "")</f>
        <v/>
      </c>
      <c r="E97" s="18" t="str">
        <f t="shared" si="1"/>
        <v/>
      </c>
    </row>
    <row r="98">
      <c r="B98" s="18" t="str">
        <f>IF(A98="","",A98/Inputs!$C$4)</f>
        <v/>
      </c>
      <c r="C98" s="18" t="str">
        <f>IF(A98="","",(Inputs!$C$3*Inputs!$C$2)/Inputs!$C$4)</f>
        <v/>
      </c>
      <c r="D98" s="18" t="str">
        <f>IF(A98 = MAX($A$2:A1000), Inputs!$C$2, "")</f>
        <v/>
      </c>
      <c r="E98" s="18" t="str">
        <f t="shared" si="1"/>
        <v/>
      </c>
    </row>
    <row r="99">
      <c r="B99" s="18" t="str">
        <f>IF(A99="","",A99/Inputs!$C$4)</f>
        <v/>
      </c>
      <c r="C99" s="18" t="str">
        <f>IF(A99="","",(Inputs!$C$3*Inputs!$C$2)/Inputs!$C$4)</f>
        <v/>
      </c>
      <c r="D99" s="18" t="str">
        <f>IF(A99 = MAX($A$2:A1000), Inputs!$C$2, "")</f>
        <v/>
      </c>
      <c r="E99" s="18" t="str">
        <f t="shared" si="1"/>
        <v/>
      </c>
    </row>
    <row r="100">
      <c r="B100" s="18" t="str">
        <f>IF(A100="","",A100/Inputs!$C$4)</f>
        <v/>
      </c>
      <c r="C100" s="18" t="str">
        <f>IF(A100="","",(Inputs!$C$3*Inputs!$C$2)/Inputs!$C$4)</f>
        <v/>
      </c>
      <c r="D100" s="18" t="str">
        <f>IF(A100 = MAX($A$2:A1000), Inputs!$C$2, "")</f>
        <v/>
      </c>
      <c r="E100" s="18" t="str">
        <f t="shared" si="1"/>
        <v/>
      </c>
    </row>
    <row r="101">
      <c r="B101" s="18" t="str">
        <f>IF(A101="","",A101/Inputs!$C$4)</f>
        <v/>
      </c>
      <c r="C101" s="18" t="str">
        <f>IF(A101="","",(Inputs!$C$3*Inputs!$C$2)/Inputs!$C$4)</f>
        <v/>
      </c>
      <c r="D101" s="18" t="str">
        <f>IF(A101 = MAX($A$2:A1000), Inputs!$C$2, "")</f>
        <v/>
      </c>
      <c r="E101" s="18" t="str">
        <f t="shared" si="1"/>
        <v/>
      </c>
    </row>
    <row r="102">
      <c r="B102" s="18" t="str">
        <f>IF(A102="","",A102/Inputs!$C$4)</f>
        <v/>
      </c>
      <c r="C102" s="18" t="str">
        <f>IF(A102="","",(Inputs!$C$3*Inputs!$C$2)/Inputs!$C$4)</f>
        <v/>
      </c>
      <c r="D102" s="18" t="str">
        <f>IF(A102 = MAX($A$2:A1000), Inputs!$C$2, "")</f>
        <v/>
      </c>
      <c r="E102" s="18" t="str">
        <f t="shared" si="1"/>
        <v/>
      </c>
    </row>
    <row r="103">
      <c r="B103" s="18" t="str">
        <f>IF(A103="","",A103/Inputs!$C$4)</f>
        <v/>
      </c>
      <c r="C103" s="18" t="str">
        <f>IF(A103="","",(Inputs!$C$3*Inputs!$C$2)/Inputs!$C$4)</f>
        <v/>
      </c>
      <c r="D103" s="18" t="str">
        <f>IF(A103 = MAX($A$2:A1000), Inputs!$C$2, "")</f>
        <v/>
      </c>
      <c r="E103" s="18" t="str">
        <f t="shared" si="1"/>
        <v/>
      </c>
    </row>
    <row r="104">
      <c r="B104" s="18" t="str">
        <f>IF(A104="","",A104/Inputs!$C$4)</f>
        <v/>
      </c>
      <c r="C104" s="18" t="str">
        <f>IF(A104="","",(Inputs!$C$3*Inputs!$C$2)/Inputs!$C$4)</f>
        <v/>
      </c>
      <c r="D104" s="18" t="str">
        <f>IF(A104 = MAX($A$2:A1000), Inputs!$C$2, "")</f>
        <v/>
      </c>
      <c r="E104" s="18" t="str">
        <f t="shared" si="1"/>
        <v/>
      </c>
    </row>
    <row r="105">
      <c r="B105" s="18" t="str">
        <f>IF(A105="","",A105/Inputs!$C$4)</f>
        <v/>
      </c>
      <c r="C105" s="18" t="str">
        <f>IF(A105="","",(Inputs!$C$3*Inputs!$C$2)/Inputs!$C$4)</f>
        <v/>
      </c>
      <c r="D105" s="18" t="str">
        <f>IF(A105 = MAX($A$2:A1000), Inputs!$C$2, "")</f>
        <v/>
      </c>
      <c r="E105" s="18" t="str">
        <f t="shared" si="1"/>
        <v/>
      </c>
    </row>
    <row r="106">
      <c r="B106" s="18" t="str">
        <f>IF(A106="","",A106/Inputs!$C$4)</f>
        <v/>
      </c>
      <c r="C106" s="18" t="str">
        <f>IF(A106="","",(Inputs!$C$3*Inputs!$C$2)/Inputs!$C$4)</f>
        <v/>
      </c>
      <c r="D106" s="18" t="str">
        <f>IF(A106 = MAX($A$2:A1000), Inputs!$C$2, "")</f>
        <v/>
      </c>
      <c r="E106" s="18" t="str">
        <f t="shared" si="1"/>
        <v/>
      </c>
    </row>
    <row r="107">
      <c r="B107" s="18" t="str">
        <f>IF(A107="","",A107/Inputs!$C$4)</f>
        <v/>
      </c>
      <c r="C107" s="18" t="str">
        <f>IF(A107="","",(Inputs!$C$3*Inputs!$C$2)/Inputs!$C$4)</f>
        <v/>
      </c>
      <c r="D107" s="18" t="str">
        <f>IF(A107 = MAX($A$2:A1000), Inputs!$C$2, "")</f>
        <v/>
      </c>
      <c r="E107" s="18" t="str">
        <f t="shared" si="1"/>
        <v/>
      </c>
    </row>
    <row r="108">
      <c r="B108" s="18" t="str">
        <f>IF(A108="","",A108/Inputs!$C$4)</f>
        <v/>
      </c>
      <c r="C108" s="18" t="str">
        <f>IF(A108="","",(Inputs!$C$3*Inputs!$C$2)/Inputs!$C$4)</f>
        <v/>
      </c>
      <c r="D108" s="18" t="str">
        <f>IF(A108 = MAX($A$2:A1000), Inputs!$C$2, "")</f>
        <v/>
      </c>
      <c r="E108" s="18" t="str">
        <f t="shared" si="1"/>
        <v/>
      </c>
    </row>
    <row r="109">
      <c r="B109" s="18" t="str">
        <f>IF(A109="","",A109/Inputs!$C$4)</f>
        <v/>
      </c>
      <c r="C109" s="18" t="str">
        <f>IF(A109="","",(Inputs!$C$3*Inputs!$C$2)/Inputs!$C$4)</f>
        <v/>
      </c>
      <c r="D109" s="18" t="str">
        <f>IF(A109 = MAX($A$2:A1000), Inputs!$C$2, "")</f>
        <v/>
      </c>
      <c r="E109" s="18" t="str">
        <f t="shared" si="1"/>
        <v/>
      </c>
    </row>
    <row r="110">
      <c r="B110" s="18" t="str">
        <f>IF(A110="","",A110/Inputs!$C$4)</f>
        <v/>
      </c>
      <c r="C110" s="18" t="str">
        <f>IF(A110="","",(Inputs!$C$3*Inputs!$C$2)/Inputs!$C$4)</f>
        <v/>
      </c>
      <c r="D110" s="18" t="str">
        <f>IF(A110 = MAX($A$2:A1000), Inputs!$C$2, "")</f>
        <v/>
      </c>
      <c r="E110" s="18" t="str">
        <f t="shared" si="1"/>
        <v/>
      </c>
    </row>
    <row r="111">
      <c r="B111" s="18" t="str">
        <f>IF(A111="","",A111/Inputs!$C$4)</f>
        <v/>
      </c>
      <c r="C111" s="18" t="str">
        <f>IF(A111="","",(Inputs!$C$3*Inputs!$C$2)/Inputs!$C$4)</f>
        <v/>
      </c>
      <c r="D111" s="18" t="str">
        <f>IF(A111 = MAX($A$2:A1000), Inputs!$C$2, "")</f>
        <v/>
      </c>
      <c r="E111" s="18" t="str">
        <f t="shared" si="1"/>
        <v/>
      </c>
    </row>
    <row r="112">
      <c r="B112" s="18" t="str">
        <f>IF(A112="","",A112/Inputs!$C$4)</f>
        <v/>
      </c>
      <c r="C112" s="18" t="str">
        <f>IF(A112="","",(Inputs!$C$3*Inputs!$C$2)/Inputs!$C$4)</f>
        <v/>
      </c>
      <c r="D112" s="18" t="str">
        <f>IF(A112 = MAX($A$2:A1000), Inputs!$C$2, "")</f>
        <v/>
      </c>
      <c r="E112" s="18" t="str">
        <f t="shared" si="1"/>
        <v/>
      </c>
    </row>
    <row r="113">
      <c r="B113" s="18" t="str">
        <f>IF(A113="","",A113/Inputs!$C$4)</f>
        <v/>
      </c>
      <c r="C113" s="18" t="str">
        <f>IF(A113="","",(Inputs!$C$3*Inputs!$C$2)/Inputs!$C$4)</f>
        <v/>
      </c>
      <c r="D113" s="18" t="str">
        <f>IF(A113 = MAX($A$2:A1000), Inputs!$C$2, "")</f>
        <v/>
      </c>
      <c r="E113" s="18" t="str">
        <f t="shared" si="1"/>
        <v/>
      </c>
    </row>
    <row r="114">
      <c r="B114" s="18" t="str">
        <f>IF(A114="","",A114/Inputs!$C$4)</f>
        <v/>
      </c>
      <c r="C114" s="18" t="str">
        <f>IF(A114="","",(Inputs!$C$3*Inputs!$C$2)/Inputs!$C$4)</f>
        <v/>
      </c>
      <c r="D114" s="18" t="str">
        <f>IF(A114 = MAX($A$2:A1000), Inputs!$C$2, "")</f>
        <v/>
      </c>
      <c r="E114" s="18" t="str">
        <f t="shared" si="1"/>
        <v/>
      </c>
    </row>
    <row r="115">
      <c r="B115" s="18" t="str">
        <f>IF(A115="","",A115/Inputs!$C$4)</f>
        <v/>
      </c>
      <c r="C115" s="18" t="str">
        <f>IF(A115="","",(Inputs!$C$3*Inputs!$C$2)/Inputs!$C$4)</f>
        <v/>
      </c>
      <c r="D115" s="18" t="str">
        <f>IF(A115 = MAX($A$2:A1000), Inputs!$C$2, "")</f>
        <v/>
      </c>
      <c r="E115" s="18" t="str">
        <f t="shared" si="1"/>
        <v/>
      </c>
    </row>
    <row r="116">
      <c r="B116" s="18" t="str">
        <f>IF(A116="","",A116/Inputs!$C$4)</f>
        <v/>
      </c>
      <c r="C116" s="18" t="str">
        <f>IF(A116="","",(Inputs!$C$3*Inputs!$C$2)/Inputs!$C$4)</f>
        <v/>
      </c>
      <c r="D116" s="18" t="str">
        <f>IF(A116 = MAX($A$2:A1000), Inputs!$C$2, "")</f>
        <v/>
      </c>
      <c r="E116" s="18" t="str">
        <f t="shared" si="1"/>
        <v/>
      </c>
    </row>
    <row r="117">
      <c r="B117" s="18" t="str">
        <f>IF(A117="","",A117/Inputs!$C$4)</f>
        <v/>
      </c>
      <c r="C117" s="18" t="str">
        <f>IF(A117="","",(Inputs!$C$3*Inputs!$C$2)/Inputs!$C$4)</f>
        <v/>
      </c>
      <c r="D117" s="18" t="str">
        <f>IF(A117 = MAX($A$2:A1000), Inputs!$C$2, "")</f>
        <v/>
      </c>
      <c r="E117" s="18" t="str">
        <f t="shared" si="1"/>
        <v/>
      </c>
    </row>
    <row r="118">
      <c r="B118" s="18" t="str">
        <f>IF(A118="","",A118/Inputs!$C$4)</f>
        <v/>
      </c>
      <c r="C118" s="18" t="str">
        <f>IF(A118="","",(Inputs!$C$3*Inputs!$C$2)/Inputs!$C$4)</f>
        <v/>
      </c>
      <c r="D118" s="18" t="str">
        <f>IF(A118 = MAX($A$2:A1000), Inputs!$C$2, "")</f>
        <v/>
      </c>
      <c r="E118" s="18" t="str">
        <f t="shared" si="1"/>
        <v/>
      </c>
    </row>
    <row r="119">
      <c r="B119" s="18" t="str">
        <f>IF(A119="","",A119/Inputs!$C$4)</f>
        <v/>
      </c>
      <c r="C119" s="18" t="str">
        <f>IF(A119="","",(Inputs!$C$3*Inputs!$C$2)/Inputs!$C$4)</f>
        <v/>
      </c>
      <c r="D119" s="18" t="str">
        <f>IF(A119 = MAX($A$2:A1000), Inputs!$C$2, "")</f>
        <v/>
      </c>
      <c r="E119" s="18" t="str">
        <f t="shared" si="1"/>
        <v/>
      </c>
    </row>
    <row r="120">
      <c r="B120" s="18" t="str">
        <f>IF(A120="","",A120/Inputs!$C$4)</f>
        <v/>
      </c>
      <c r="C120" s="18" t="str">
        <f>IF(A120="","",(Inputs!$C$3*Inputs!$C$2)/Inputs!$C$4)</f>
        <v/>
      </c>
      <c r="D120" s="18" t="str">
        <f>IF(A120 = MAX($A$2:A1000), Inputs!$C$2, "")</f>
        <v/>
      </c>
      <c r="E120" s="18" t="str">
        <f t="shared" si="1"/>
        <v/>
      </c>
    </row>
    <row r="121">
      <c r="B121" s="18" t="str">
        <f>IF(A121="","",A121/Inputs!$C$4)</f>
        <v/>
      </c>
      <c r="C121" s="18" t="str">
        <f>IF(A121="","",(Inputs!$C$3*Inputs!$C$2)/Inputs!$C$4)</f>
        <v/>
      </c>
      <c r="D121" s="18" t="str">
        <f>IF(A121 = MAX($A$2:A1000), Inputs!$C$2, "")</f>
        <v/>
      </c>
      <c r="E121" s="18" t="str">
        <f t="shared" si="1"/>
        <v/>
      </c>
    </row>
    <row r="122">
      <c r="B122" s="18" t="str">
        <f>IF(A122="","",A122/Inputs!$C$4)</f>
        <v/>
      </c>
      <c r="C122" s="18" t="str">
        <f>IF(A122="","",(Inputs!$C$3*Inputs!$C$2)/Inputs!$C$4)</f>
        <v/>
      </c>
      <c r="D122" s="18" t="str">
        <f>IF(A122 = MAX($A$2:A1000), Inputs!$C$2, "")</f>
        <v/>
      </c>
      <c r="E122" s="18" t="str">
        <f t="shared" si="1"/>
        <v/>
      </c>
    </row>
    <row r="123">
      <c r="B123" s="18" t="str">
        <f>IF(A123="","",A123/Inputs!$C$4)</f>
        <v/>
      </c>
      <c r="C123" s="18" t="str">
        <f>IF(A123="","",(Inputs!$C$3*Inputs!$C$2)/Inputs!$C$4)</f>
        <v/>
      </c>
      <c r="D123" s="18" t="str">
        <f>IF(A123 = MAX($A$2:A1000), Inputs!$C$2, "")</f>
        <v/>
      </c>
      <c r="E123" s="18" t="str">
        <f t="shared" si="1"/>
        <v/>
      </c>
    </row>
    <row r="124">
      <c r="B124" s="18" t="str">
        <f>IF(A124="","",A124/Inputs!$C$4)</f>
        <v/>
      </c>
      <c r="C124" s="18" t="str">
        <f>IF(A124="","",(Inputs!$C$3*Inputs!$C$2)/Inputs!$C$4)</f>
        <v/>
      </c>
      <c r="D124" s="18" t="str">
        <f>IF(A124 = MAX($A$2:A1000), Inputs!$C$2, "")</f>
        <v/>
      </c>
      <c r="E124" s="18" t="str">
        <f t="shared" si="1"/>
        <v/>
      </c>
    </row>
    <row r="125">
      <c r="B125" s="18" t="str">
        <f>IF(A125="","",A125/Inputs!$C$4)</f>
        <v/>
      </c>
      <c r="C125" s="18" t="str">
        <f>IF(A125="","",(Inputs!$C$3*Inputs!$C$2)/Inputs!$C$4)</f>
        <v/>
      </c>
      <c r="D125" s="18" t="str">
        <f>IF(A125 = MAX($A$2:A1000), Inputs!$C$2, "")</f>
        <v/>
      </c>
      <c r="E125" s="18" t="str">
        <f t="shared" si="1"/>
        <v/>
      </c>
    </row>
    <row r="126">
      <c r="B126" s="18" t="str">
        <f>IF(A126="","",A126/Inputs!$C$4)</f>
        <v/>
      </c>
      <c r="C126" s="18" t="str">
        <f>IF(A126="","",(Inputs!$C$3*Inputs!$C$2)/Inputs!$C$4)</f>
        <v/>
      </c>
      <c r="D126" s="18" t="str">
        <f>IF(A126 = MAX($A$2:A1000), Inputs!$C$2, "")</f>
        <v/>
      </c>
      <c r="E126" s="18" t="str">
        <f t="shared" si="1"/>
        <v/>
      </c>
    </row>
    <row r="127">
      <c r="B127" s="18" t="str">
        <f>IF(A127="","",A127/Inputs!$C$4)</f>
        <v/>
      </c>
      <c r="C127" s="18" t="str">
        <f>IF(A127="","",(Inputs!$C$3*Inputs!$C$2)/Inputs!$C$4)</f>
        <v/>
      </c>
      <c r="D127" s="18" t="str">
        <f>IF(A127 = MAX($A$2:A1000), Inputs!$C$2, "")</f>
        <v/>
      </c>
      <c r="E127" s="18" t="str">
        <f t="shared" si="1"/>
        <v/>
      </c>
    </row>
    <row r="128">
      <c r="B128" s="18" t="str">
        <f>IF(A128="","",A128/Inputs!$C$4)</f>
        <v/>
      </c>
      <c r="C128" s="18" t="str">
        <f>IF(A128="","",(Inputs!$C$3*Inputs!$C$2)/Inputs!$C$4)</f>
        <v/>
      </c>
      <c r="D128" s="18" t="str">
        <f>IF(A128 = MAX($A$2:A1000), Inputs!$C$2, "")</f>
        <v/>
      </c>
      <c r="E128" s="18" t="str">
        <f t="shared" si="1"/>
        <v/>
      </c>
    </row>
    <row r="129">
      <c r="B129" s="18" t="str">
        <f>IF(A129="","",A129/Inputs!$C$4)</f>
        <v/>
      </c>
      <c r="C129" s="18" t="str">
        <f>IF(A129="","",(Inputs!$C$3*Inputs!$C$2)/Inputs!$C$4)</f>
        <v/>
      </c>
      <c r="D129" s="18" t="str">
        <f>IF(A129 = MAX($A$2:A1000), Inputs!$C$2, "")</f>
        <v/>
      </c>
      <c r="E129" s="18" t="str">
        <f t="shared" si="1"/>
        <v/>
      </c>
    </row>
    <row r="130">
      <c r="B130" s="18" t="str">
        <f>IF(A130="","",A130/Inputs!$C$4)</f>
        <v/>
      </c>
      <c r="C130" s="18" t="str">
        <f>IF(A130="","",(Inputs!$C$3*Inputs!$C$2)/Inputs!$C$4)</f>
        <v/>
      </c>
      <c r="D130" s="18" t="str">
        <f>IF(A130 = MAX($A$2:A1000), Inputs!$C$2, "")</f>
        <v/>
      </c>
      <c r="E130" s="18" t="str">
        <f t="shared" si="1"/>
        <v/>
      </c>
    </row>
    <row r="131">
      <c r="B131" s="18" t="str">
        <f>IF(A131="","",A131/Inputs!$C$4)</f>
        <v/>
      </c>
      <c r="C131" s="18" t="str">
        <f>IF(A131="","",(Inputs!$C$3*Inputs!$C$2)/Inputs!$C$4)</f>
        <v/>
      </c>
      <c r="D131" s="18" t="str">
        <f>IF(A131 = MAX($A$2:A1000), Inputs!$C$2, "")</f>
        <v/>
      </c>
      <c r="E131" s="18" t="str">
        <f t="shared" si="1"/>
        <v/>
      </c>
    </row>
    <row r="132">
      <c r="B132" s="18" t="str">
        <f>IF(A132="","",A132/Inputs!$C$4)</f>
        <v/>
      </c>
      <c r="C132" s="18" t="str">
        <f>IF(A132="","",(Inputs!$C$3*Inputs!$C$2)/Inputs!$C$4)</f>
        <v/>
      </c>
      <c r="D132" s="18" t="str">
        <f>IF(A132 = MAX($A$2:A1000), Inputs!$C$2, "")</f>
        <v/>
      </c>
      <c r="E132" s="18" t="str">
        <f t="shared" si="1"/>
        <v/>
      </c>
    </row>
    <row r="133">
      <c r="B133" s="18" t="str">
        <f>IF(A133="","",A133/Inputs!$C$4)</f>
        <v/>
      </c>
      <c r="C133" s="18" t="str">
        <f>IF(A133="","",(Inputs!$C$3*Inputs!$C$2)/Inputs!$C$4)</f>
        <v/>
      </c>
      <c r="D133" s="18" t="str">
        <f>IF(A133 = MAX($A$2:A1000), Inputs!$C$2, "")</f>
        <v/>
      </c>
      <c r="E133" s="18" t="str">
        <f t="shared" si="1"/>
        <v/>
      </c>
    </row>
    <row r="134">
      <c r="B134" s="18" t="str">
        <f>IF(A134="","",A134/Inputs!$C$4)</f>
        <v/>
      </c>
      <c r="C134" s="18" t="str">
        <f>IF(A134="","",(Inputs!$C$3*Inputs!$C$2)/Inputs!$C$4)</f>
        <v/>
      </c>
      <c r="D134" s="18" t="str">
        <f>IF(A134 = MAX($A$2:A1000), Inputs!$C$2, "")</f>
        <v/>
      </c>
      <c r="E134" s="18" t="str">
        <f t="shared" si="1"/>
        <v/>
      </c>
    </row>
    <row r="135">
      <c r="B135" s="18" t="str">
        <f>IF(A135="","",A135/Inputs!$C$4)</f>
        <v/>
      </c>
      <c r="C135" s="18" t="str">
        <f>IF(A135="","",(Inputs!$C$3*Inputs!$C$2)/Inputs!$C$4)</f>
        <v/>
      </c>
      <c r="D135" s="18" t="str">
        <f>IF(A135 = MAX($A$2:A1000), Inputs!$C$2, "")</f>
        <v/>
      </c>
      <c r="E135" s="18" t="str">
        <f t="shared" si="1"/>
        <v/>
      </c>
    </row>
    <row r="136">
      <c r="B136" s="18" t="str">
        <f>IF(A136="","",A136/Inputs!$C$4)</f>
        <v/>
      </c>
      <c r="C136" s="18" t="str">
        <f>IF(A136="","",(Inputs!$C$3*Inputs!$C$2)/Inputs!$C$4)</f>
        <v/>
      </c>
      <c r="D136" s="18" t="str">
        <f>IF(A136 = MAX($A$2:A1000), Inputs!$C$2, "")</f>
        <v/>
      </c>
      <c r="E136" s="18" t="str">
        <f t="shared" si="1"/>
        <v/>
      </c>
    </row>
    <row r="137">
      <c r="B137" s="18" t="str">
        <f>IF(A137="","",A137/Inputs!$C$4)</f>
        <v/>
      </c>
      <c r="C137" s="18" t="str">
        <f>IF(A137="","",(Inputs!$C$3*Inputs!$C$2)/Inputs!$C$4)</f>
        <v/>
      </c>
      <c r="D137" s="18" t="str">
        <f>IF(A137 = MAX($A$2:A1000), Inputs!$C$2, "")</f>
        <v/>
      </c>
      <c r="E137" s="18" t="str">
        <f t="shared" si="1"/>
        <v/>
      </c>
    </row>
    <row r="138">
      <c r="B138" s="18" t="str">
        <f>IF(A138="","",A138/Inputs!$C$4)</f>
        <v/>
      </c>
      <c r="C138" s="18" t="str">
        <f>IF(A138="","",(Inputs!$C$3*Inputs!$C$2)/Inputs!$C$4)</f>
        <v/>
      </c>
      <c r="D138" s="18" t="str">
        <f>IF(A138 = MAX($A$2:A1000), Inputs!$C$2, "")</f>
        <v/>
      </c>
      <c r="E138" s="18" t="str">
        <f t="shared" si="1"/>
        <v/>
      </c>
    </row>
    <row r="139">
      <c r="B139" s="18" t="str">
        <f>IF(A139="","",A139/Inputs!$C$4)</f>
        <v/>
      </c>
      <c r="C139" s="18" t="str">
        <f>IF(A139="","",(Inputs!$C$3*Inputs!$C$2)/Inputs!$C$4)</f>
        <v/>
      </c>
      <c r="D139" s="18" t="str">
        <f>IF(A139 = MAX($A$2:A1000), Inputs!$C$2, "")</f>
        <v/>
      </c>
      <c r="E139" s="18" t="str">
        <f t="shared" si="1"/>
        <v/>
      </c>
    </row>
    <row r="140">
      <c r="B140" s="18" t="str">
        <f>IF(A140="","",A140/Inputs!$C$4)</f>
        <v/>
      </c>
      <c r="C140" s="18" t="str">
        <f>IF(A140="","",(Inputs!$C$3*Inputs!$C$2)/Inputs!$C$4)</f>
        <v/>
      </c>
      <c r="D140" s="18" t="str">
        <f>IF(A140 = MAX($A$2:A1000), Inputs!$C$2, "")</f>
        <v/>
      </c>
      <c r="E140" s="18" t="str">
        <f t="shared" si="1"/>
        <v/>
      </c>
    </row>
    <row r="141">
      <c r="B141" s="18" t="str">
        <f>IF(A141="","",A141/Inputs!$C$4)</f>
        <v/>
      </c>
      <c r="C141" s="18" t="str">
        <f>IF(A141="","",(Inputs!$C$3*Inputs!$C$2)/Inputs!$C$4)</f>
        <v/>
      </c>
      <c r="D141" s="18" t="str">
        <f>IF(A141 = MAX($A$2:A1000), Inputs!$C$2, "")</f>
        <v/>
      </c>
      <c r="E141" s="18" t="str">
        <f t="shared" si="1"/>
        <v/>
      </c>
    </row>
    <row r="142">
      <c r="B142" s="18" t="str">
        <f>IF(A142="","",A142/Inputs!$C$4)</f>
        <v/>
      </c>
      <c r="C142" s="18" t="str">
        <f>IF(A142="","",(Inputs!$C$3*Inputs!$C$2)/Inputs!$C$4)</f>
        <v/>
      </c>
      <c r="D142" s="18" t="str">
        <f>IF(A142 = MAX($A$2:A1000), Inputs!$C$2, "")</f>
        <v/>
      </c>
      <c r="E142" s="18" t="str">
        <f t="shared" si="1"/>
        <v/>
      </c>
    </row>
    <row r="143">
      <c r="B143" s="18" t="str">
        <f>IF(A143="","",A143/Inputs!$C$4)</f>
        <v/>
      </c>
      <c r="C143" s="18" t="str">
        <f>IF(A143="","",(Inputs!$C$3*Inputs!$C$2)/Inputs!$C$4)</f>
        <v/>
      </c>
      <c r="D143" s="18" t="str">
        <f>IF(A143 = MAX($A$2:A1000), Inputs!$C$2, "")</f>
        <v/>
      </c>
      <c r="E143" s="18" t="str">
        <f t="shared" si="1"/>
        <v/>
      </c>
    </row>
    <row r="144">
      <c r="B144" s="18" t="str">
        <f>IF(A144="","",A144/Inputs!$C$4)</f>
        <v/>
      </c>
      <c r="C144" s="18" t="str">
        <f>IF(A144="","",(Inputs!$C$3*Inputs!$C$2)/Inputs!$C$4)</f>
        <v/>
      </c>
      <c r="D144" s="18" t="str">
        <f>IF(A144 = MAX($A$2:A1000), Inputs!$C$2, "")</f>
        <v/>
      </c>
      <c r="E144" s="18" t="str">
        <f t="shared" si="1"/>
        <v/>
      </c>
    </row>
    <row r="145">
      <c r="B145" s="18" t="str">
        <f>IF(A145="","",A145/Inputs!$C$4)</f>
        <v/>
      </c>
      <c r="C145" s="18" t="str">
        <f>IF(A145="","",(Inputs!$C$3*Inputs!$C$2)/Inputs!$C$4)</f>
        <v/>
      </c>
      <c r="D145" s="18" t="str">
        <f>IF(A145 = MAX($A$2:A1000), Inputs!$C$2, "")</f>
        <v/>
      </c>
      <c r="E145" s="18" t="str">
        <f t="shared" si="1"/>
        <v/>
      </c>
    </row>
    <row r="146">
      <c r="B146" s="18" t="str">
        <f>IF(A146="","",A146/Inputs!$C$4)</f>
        <v/>
      </c>
      <c r="C146" s="18" t="str">
        <f>IF(A146="","",(Inputs!$C$3*Inputs!$C$2)/Inputs!$C$4)</f>
        <v/>
      </c>
      <c r="D146" s="18" t="str">
        <f>IF(A146 = MAX($A$2:A1000), Inputs!$C$2, "")</f>
        <v/>
      </c>
      <c r="E146" s="18" t="str">
        <f t="shared" si="1"/>
        <v/>
      </c>
    </row>
    <row r="147">
      <c r="B147" s="18" t="str">
        <f>IF(A147="","",A147/Inputs!$C$4)</f>
        <v/>
      </c>
      <c r="C147" s="18" t="str">
        <f>IF(A147="","",(Inputs!$C$3*Inputs!$C$2)/Inputs!$C$4)</f>
        <v/>
      </c>
      <c r="D147" s="18" t="str">
        <f>IF(A147 = MAX($A$2:A1000), Inputs!$C$2, "")</f>
        <v/>
      </c>
      <c r="E147" s="18" t="str">
        <f t="shared" si="1"/>
        <v/>
      </c>
    </row>
    <row r="148">
      <c r="B148" s="18" t="str">
        <f>IF(A148="","",A148/Inputs!$C$4)</f>
        <v/>
      </c>
      <c r="C148" s="18" t="str">
        <f>IF(A148="","",(Inputs!$C$3*Inputs!$C$2)/Inputs!$C$4)</f>
        <v/>
      </c>
      <c r="D148" s="18" t="str">
        <f>IF(A148 = MAX($A$2:A1000), Inputs!$C$2, "")</f>
        <v/>
      </c>
      <c r="E148" s="18" t="str">
        <f t="shared" si="1"/>
        <v/>
      </c>
    </row>
    <row r="149">
      <c r="B149" s="18" t="str">
        <f>IF(A149="","",A149/Inputs!$C$4)</f>
        <v/>
      </c>
      <c r="C149" s="18" t="str">
        <f>IF(A149="","",(Inputs!$C$3*Inputs!$C$2)/Inputs!$C$4)</f>
        <v/>
      </c>
      <c r="D149" s="18" t="str">
        <f>IF(A149 = MAX($A$2:A1000), Inputs!$C$2, "")</f>
        <v/>
      </c>
      <c r="E149" s="18" t="str">
        <f t="shared" si="1"/>
        <v/>
      </c>
    </row>
    <row r="150">
      <c r="B150" s="18" t="str">
        <f>IF(A150="","",A150/Inputs!$C$4)</f>
        <v/>
      </c>
      <c r="C150" s="18" t="str">
        <f>IF(A150="","",(Inputs!$C$3*Inputs!$C$2)/Inputs!$C$4)</f>
        <v/>
      </c>
      <c r="D150" s="18" t="str">
        <f>IF(A150 = MAX($A$2:A1000), Inputs!$C$2, "")</f>
        <v/>
      </c>
      <c r="E150" s="18" t="str">
        <f t="shared" si="1"/>
        <v/>
      </c>
    </row>
    <row r="151">
      <c r="B151" s="18" t="str">
        <f>IF(A151="","",A151/Inputs!$C$4)</f>
        <v/>
      </c>
      <c r="C151" s="18" t="str">
        <f>IF(A151="","",(Inputs!$C$3*Inputs!$C$2)/Inputs!$C$4)</f>
        <v/>
      </c>
      <c r="D151" s="18" t="str">
        <f>IF(A151 = MAX($A$2:A1000), Inputs!$C$2, "")</f>
        <v/>
      </c>
      <c r="E151" s="18" t="str">
        <f t="shared" si="1"/>
        <v/>
      </c>
    </row>
    <row r="152">
      <c r="B152" s="18" t="str">
        <f>IF(A152="","",A152/Inputs!$C$4)</f>
        <v/>
      </c>
      <c r="C152" s="18" t="str">
        <f>IF(A152="","",(Inputs!$C$3*Inputs!$C$2)/Inputs!$C$4)</f>
        <v/>
      </c>
      <c r="D152" s="18" t="str">
        <f>IF(A152 = MAX($A$2:A1000), Inputs!$C$2, "")</f>
        <v/>
      </c>
      <c r="E152" s="18" t="str">
        <f t="shared" si="1"/>
        <v/>
      </c>
    </row>
    <row r="153">
      <c r="B153" s="18" t="str">
        <f>IF(A153="","",A153/Inputs!$C$4)</f>
        <v/>
      </c>
      <c r="C153" s="18" t="str">
        <f>IF(A153="","",(Inputs!$C$3*Inputs!$C$2)/Inputs!$C$4)</f>
        <v/>
      </c>
      <c r="D153" s="18" t="str">
        <f>IF(A153 = MAX($A$2:A1000), Inputs!$C$2, "")</f>
        <v/>
      </c>
      <c r="E153" s="18" t="str">
        <f t="shared" si="1"/>
        <v/>
      </c>
    </row>
    <row r="154">
      <c r="B154" s="18" t="str">
        <f>IF(A154="","",A154/Inputs!$C$4)</f>
        <v/>
      </c>
      <c r="C154" s="18" t="str">
        <f>IF(A154="","",(Inputs!$C$3*Inputs!$C$2)/Inputs!$C$4)</f>
        <v/>
      </c>
      <c r="D154" s="18" t="str">
        <f>IF(A154 = MAX($A$2:A1000), Inputs!$C$2, "")</f>
        <v/>
      </c>
      <c r="E154" s="18" t="str">
        <f t="shared" si="1"/>
        <v/>
      </c>
    </row>
    <row r="155">
      <c r="B155" s="18" t="str">
        <f>IF(A155="","",A155/Inputs!$C$4)</f>
        <v/>
      </c>
      <c r="C155" s="18" t="str">
        <f>IF(A155="","",(Inputs!$C$3*Inputs!$C$2)/Inputs!$C$4)</f>
        <v/>
      </c>
      <c r="D155" s="18" t="str">
        <f>IF(A155 = MAX($A$2:A1000), Inputs!$C$2, "")</f>
        <v/>
      </c>
      <c r="E155" s="18" t="str">
        <f t="shared" si="1"/>
        <v/>
      </c>
    </row>
    <row r="156">
      <c r="B156" s="18" t="str">
        <f>IF(A156="","",A156/Inputs!$C$4)</f>
        <v/>
      </c>
      <c r="C156" s="18" t="str">
        <f>IF(A156="","",(Inputs!$C$3*Inputs!$C$2)/Inputs!$C$4)</f>
        <v/>
      </c>
      <c r="D156" s="18" t="str">
        <f>IF(A156 = MAX($A$2:A1000), Inputs!$C$2, "")</f>
        <v/>
      </c>
      <c r="E156" s="18" t="str">
        <f t="shared" si="1"/>
        <v/>
      </c>
    </row>
    <row r="157">
      <c r="B157" s="18" t="str">
        <f>IF(A157="","",A157/Inputs!$C$4)</f>
        <v/>
      </c>
      <c r="C157" s="18" t="str">
        <f>IF(A157="","",(Inputs!$C$3*Inputs!$C$2)/Inputs!$C$4)</f>
        <v/>
      </c>
      <c r="D157" s="18" t="str">
        <f>IF(A157 = MAX($A$2:A1000), Inputs!$C$2, "")</f>
        <v/>
      </c>
      <c r="E157" s="18" t="str">
        <f t="shared" si="1"/>
        <v/>
      </c>
    </row>
    <row r="158">
      <c r="B158" s="18" t="str">
        <f>IF(A158="","",A158/Inputs!$C$4)</f>
        <v/>
      </c>
      <c r="C158" s="18" t="str">
        <f>IF(A158="","",(Inputs!$C$3*Inputs!$C$2)/Inputs!$C$4)</f>
        <v/>
      </c>
      <c r="D158" s="18" t="str">
        <f>IF(A158 = MAX($A$2:A1000), Inputs!$C$2, "")</f>
        <v/>
      </c>
      <c r="E158" s="18" t="str">
        <f t="shared" si="1"/>
        <v/>
      </c>
    </row>
    <row r="159">
      <c r="B159" s="18" t="str">
        <f>IF(A159="","",A159/Inputs!$C$4)</f>
        <v/>
      </c>
      <c r="C159" s="18" t="str">
        <f>IF(A159="","",(Inputs!$C$3*Inputs!$C$2)/Inputs!$C$4)</f>
        <v/>
      </c>
      <c r="D159" s="18" t="str">
        <f>IF(A159 = MAX($A$2:A1000), Inputs!$C$2, "")</f>
        <v/>
      </c>
      <c r="E159" s="18" t="str">
        <f t="shared" si="1"/>
        <v/>
      </c>
    </row>
    <row r="160">
      <c r="B160" s="18" t="str">
        <f>IF(A160="","",A160/Inputs!$C$4)</f>
        <v/>
      </c>
      <c r="C160" s="18" t="str">
        <f>IF(A160="","",(Inputs!$C$3*Inputs!$C$2)/Inputs!$C$4)</f>
        <v/>
      </c>
      <c r="D160" s="18" t="str">
        <f>IF(A160 = MAX($A$2:A1000), Inputs!$C$2, "")</f>
        <v/>
      </c>
      <c r="E160" s="18" t="str">
        <f t="shared" si="1"/>
        <v/>
      </c>
    </row>
    <row r="161">
      <c r="B161" s="18" t="str">
        <f>IF(A161="","",A161/Inputs!$C$4)</f>
        <v/>
      </c>
      <c r="C161" s="18" t="str">
        <f>IF(A161="","",(Inputs!$C$3*Inputs!$C$2)/Inputs!$C$4)</f>
        <v/>
      </c>
      <c r="D161" s="18" t="str">
        <f>IF(A161 = MAX($A$2:A1000), Inputs!$C$2, "")</f>
        <v/>
      </c>
      <c r="E161" s="18" t="str">
        <f t="shared" si="1"/>
        <v/>
      </c>
    </row>
    <row r="162">
      <c r="B162" s="18" t="str">
        <f>IF(A162="","",A162/Inputs!$C$4)</f>
        <v/>
      </c>
      <c r="C162" s="18" t="str">
        <f>IF(A162="","",(Inputs!$C$3*Inputs!$C$2)/Inputs!$C$4)</f>
        <v/>
      </c>
      <c r="D162" s="18" t="str">
        <f>IF(A162 = MAX($A$2:A1000), Inputs!$C$2, "")</f>
        <v/>
      </c>
      <c r="E162" s="18" t="str">
        <f t="shared" si="1"/>
        <v/>
      </c>
    </row>
    <row r="163">
      <c r="B163" s="18" t="str">
        <f>IF(A163="","",A163/Inputs!$C$4)</f>
        <v/>
      </c>
      <c r="C163" s="18" t="str">
        <f>IF(A163="","",(Inputs!$C$3*Inputs!$C$2)/Inputs!$C$4)</f>
        <v/>
      </c>
      <c r="D163" s="18" t="str">
        <f>IF(A163 = MAX($A$2:A1000), Inputs!$C$2, "")</f>
        <v/>
      </c>
      <c r="E163" s="18" t="str">
        <f t="shared" si="1"/>
        <v/>
      </c>
    </row>
    <row r="164">
      <c r="B164" s="18" t="str">
        <f>IF(A164="","",A164/Inputs!$C$4)</f>
        <v/>
      </c>
      <c r="C164" s="18" t="str">
        <f>IF(A164="","",(Inputs!$C$3*Inputs!$C$2)/Inputs!$C$4)</f>
        <v/>
      </c>
      <c r="D164" s="18" t="str">
        <f>IF(A164 = MAX($A$2:A1000), Inputs!$C$2, "")</f>
        <v/>
      </c>
      <c r="E164" s="18" t="str">
        <f t="shared" si="1"/>
        <v/>
      </c>
    </row>
    <row r="165">
      <c r="B165" s="18" t="str">
        <f>IF(A165="","",A165/Inputs!$C$4)</f>
        <v/>
      </c>
      <c r="C165" s="18" t="str">
        <f>IF(A165="","",(Inputs!$C$3*Inputs!$C$2)/Inputs!$C$4)</f>
        <v/>
      </c>
      <c r="D165" s="18" t="str">
        <f>IF(A165 = MAX($A$2:A1000), Inputs!$C$2, "")</f>
        <v/>
      </c>
      <c r="E165" s="18" t="str">
        <f t="shared" si="1"/>
        <v/>
      </c>
    </row>
    <row r="166">
      <c r="B166" s="18" t="str">
        <f>IF(A166="","",A166/Inputs!$C$4)</f>
        <v/>
      </c>
      <c r="C166" s="18" t="str">
        <f>IF(A166="","",(Inputs!$C$3*Inputs!$C$2)/Inputs!$C$4)</f>
        <v/>
      </c>
      <c r="D166" s="18" t="str">
        <f>IF(A166 = MAX($A$2:A1000), Inputs!$C$2, "")</f>
        <v/>
      </c>
      <c r="E166" s="18" t="str">
        <f t="shared" si="1"/>
        <v/>
      </c>
    </row>
    <row r="167">
      <c r="B167" s="18" t="str">
        <f>IF(A167="","",A167/Inputs!$C$4)</f>
        <v/>
      </c>
      <c r="C167" s="18" t="str">
        <f>IF(A167="","",(Inputs!$C$3*Inputs!$C$2)/Inputs!$C$4)</f>
        <v/>
      </c>
      <c r="D167" s="18" t="str">
        <f>IF(A167 = MAX($A$2:A1000), Inputs!$C$2, "")</f>
        <v/>
      </c>
      <c r="E167" s="18" t="str">
        <f t="shared" si="1"/>
        <v/>
      </c>
    </row>
    <row r="168">
      <c r="B168" s="18" t="str">
        <f>IF(A168="","",A168/Inputs!$C$4)</f>
        <v/>
      </c>
      <c r="C168" s="18" t="str">
        <f>IF(A168="","",(Inputs!$C$3*Inputs!$C$2)/Inputs!$C$4)</f>
        <v/>
      </c>
      <c r="D168" s="18" t="str">
        <f>IF(A168 = MAX($A$2:A1000), Inputs!$C$2, "")</f>
        <v/>
      </c>
      <c r="E168" s="18" t="str">
        <f t="shared" si="1"/>
        <v/>
      </c>
    </row>
    <row r="169">
      <c r="B169" s="18" t="str">
        <f>IF(A169="","",A169/Inputs!$C$4)</f>
        <v/>
      </c>
      <c r="C169" s="18" t="str">
        <f>IF(A169="","",(Inputs!$C$3*Inputs!$C$2)/Inputs!$C$4)</f>
        <v/>
      </c>
      <c r="D169" s="18" t="str">
        <f>IF(A169 = MAX($A$2:A1000), Inputs!$C$2, "")</f>
        <v/>
      </c>
      <c r="E169" s="18" t="str">
        <f t="shared" si="1"/>
        <v/>
      </c>
    </row>
    <row r="170">
      <c r="B170" s="18" t="str">
        <f>IF(A170="","",A170/Inputs!$C$4)</f>
        <v/>
      </c>
      <c r="C170" s="18" t="str">
        <f>IF(A170="","",(Inputs!$C$3*Inputs!$C$2)/Inputs!$C$4)</f>
        <v/>
      </c>
      <c r="D170" s="18" t="str">
        <f>IF(A170 = MAX($A$2:A1000), Inputs!$C$2, "")</f>
        <v/>
      </c>
      <c r="E170" s="18" t="str">
        <f t="shared" si="1"/>
        <v/>
      </c>
    </row>
    <row r="171">
      <c r="B171" s="18" t="str">
        <f>IF(A171="","",A171/Inputs!$C$4)</f>
        <v/>
      </c>
      <c r="C171" s="18" t="str">
        <f>IF(A171="","",(Inputs!$C$3*Inputs!$C$2)/Inputs!$C$4)</f>
        <v/>
      </c>
      <c r="D171" s="18" t="str">
        <f>IF(A171 = MAX($A$2:A1000), Inputs!$C$2, "")</f>
        <v/>
      </c>
      <c r="E171" s="18" t="str">
        <f t="shared" si="1"/>
        <v/>
      </c>
    </row>
    <row r="172">
      <c r="B172" s="18" t="str">
        <f>IF(A172="","",A172/Inputs!$C$4)</f>
        <v/>
      </c>
      <c r="C172" s="18" t="str">
        <f>IF(A172="","",(Inputs!$C$3*Inputs!$C$2)/Inputs!$C$4)</f>
        <v/>
      </c>
      <c r="D172" s="18" t="str">
        <f>IF(A172 = MAX($A$2:A1000), Inputs!$C$2, "")</f>
        <v/>
      </c>
      <c r="E172" s="18" t="str">
        <f t="shared" si="1"/>
        <v/>
      </c>
    </row>
    <row r="173">
      <c r="B173" s="18" t="str">
        <f>IF(A173="","",A173/Inputs!$C$4)</f>
        <v/>
      </c>
      <c r="C173" s="18" t="str">
        <f>IF(A173="","",(Inputs!$C$3*Inputs!$C$2)/Inputs!$C$4)</f>
        <v/>
      </c>
      <c r="D173" s="18" t="str">
        <f>IF(A173 = MAX($A$2:A1000), Inputs!$C$2, "")</f>
        <v/>
      </c>
      <c r="E173" s="18" t="str">
        <f t="shared" si="1"/>
        <v/>
      </c>
    </row>
    <row r="174">
      <c r="B174" s="18" t="str">
        <f>IF(A174="","",A174/Inputs!$C$4)</f>
        <v/>
      </c>
      <c r="C174" s="18" t="str">
        <f>IF(A174="","",(Inputs!$C$3*Inputs!$C$2)/Inputs!$C$4)</f>
        <v/>
      </c>
      <c r="D174" s="18" t="str">
        <f>IF(A174 = MAX($A$2:A1000), Inputs!$C$2, "")</f>
        <v/>
      </c>
      <c r="E174" s="18" t="str">
        <f t="shared" si="1"/>
        <v/>
      </c>
    </row>
    <row r="175">
      <c r="B175" s="18" t="str">
        <f>IF(A175="","",A175/Inputs!$C$4)</f>
        <v/>
      </c>
      <c r="C175" s="18" t="str">
        <f>IF(A175="","",(Inputs!$C$3*Inputs!$C$2)/Inputs!$C$4)</f>
        <v/>
      </c>
      <c r="D175" s="18" t="str">
        <f>IF(A175 = MAX($A$2:A1000), Inputs!$C$2, "")</f>
        <v/>
      </c>
      <c r="E175" s="18" t="str">
        <f t="shared" si="1"/>
        <v/>
      </c>
    </row>
    <row r="176">
      <c r="B176" s="18" t="str">
        <f>IF(A176="","",A176/Inputs!$C$4)</f>
        <v/>
      </c>
      <c r="C176" s="18" t="str">
        <f>IF(A176="","",(Inputs!$C$3*Inputs!$C$2)/Inputs!$C$4)</f>
        <v/>
      </c>
      <c r="D176" s="18" t="str">
        <f>IF(A176 = MAX($A$2:A1000), Inputs!$C$2, "")</f>
        <v/>
      </c>
      <c r="E176" s="18" t="str">
        <f t="shared" si="1"/>
        <v/>
      </c>
    </row>
    <row r="177">
      <c r="B177" s="18" t="str">
        <f>IF(A177="","",A177/Inputs!$C$4)</f>
        <v/>
      </c>
      <c r="C177" s="18" t="str">
        <f>IF(A177="","",(Inputs!$C$3*Inputs!$C$2)/Inputs!$C$4)</f>
        <v/>
      </c>
      <c r="D177" s="18" t="str">
        <f>IF(A177 = MAX($A$2:A1000), Inputs!$C$2, "")</f>
        <v/>
      </c>
      <c r="E177" s="18" t="str">
        <f t="shared" si="1"/>
        <v/>
      </c>
    </row>
    <row r="178">
      <c r="B178" s="18" t="str">
        <f>IF(A178="","",A178/Inputs!$C$4)</f>
        <v/>
      </c>
      <c r="C178" s="18" t="str">
        <f>IF(A178="","",(Inputs!$C$3*Inputs!$C$2)/Inputs!$C$4)</f>
        <v/>
      </c>
      <c r="D178" s="18" t="str">
        <f>IF(A178 = MAX($A$2:A1000), Inputs!$C$2, "")</f>
        <v/>
      </c>
      <c r="E178" s="18" t="str">
        <f t="shared" si="1"/>
        <v/>
      </c>
    </row>
    <row r="179">
      <c r="B179" s="18" t="str">
        <f>IF(A179="","",A179/Inputs!$C$4)</f>
        <v/>
      </c>
      <c r="C179" s="18" t="str">
        <f>IF(A179="","",(Inputs!$C$3*Inputs!$C$2)/Inputs!$C$4)</f>
        <v/>
      </c>
      <c r="D179" s="18" t="str">
        <f>IF(A179 = MAX($A$2:A1000), Inputs!$C$2, "")</f>
        <v/>
      </c>
      <c r="E179" s="18" t="str">
        <f t="shared" si="1"/>
        <v/>
      </c>
    </row>
    <row r="180">
      <c r="B180" s="18" t="str">
        <f>IF(A180="","",A180/Inputs!$C$4)</f>
        <v/>
      </c>
      <c r="C180" s="18" t="str">
        <f>IF(A180="","",(Inputs!$C$3*Inputs!$C$2)/Inputs!$C$4)</f>
        <v/>
      </c>
      <c r="D180" s="18" t="str">
        <f>IF(A180 = MAX($A$2:A1000), Inputs!$C$2, "")</f>
        <v/>
      </c>
      <c r="E180" s="18" t="str">
        <f t="shared" si="1"/>
        <v/>
      </c>
    </row>
    <row r="181">
      <c r="B181" s="18" t="str">
        <f>IF(A181="","",A181/Inputs!$C$4)</f>
        <v/>
      </c>
      <c r="C181" s="18" t="str">
        <f>IF(A181="","",(Inputs!$C$3*Inputs!$C$2)/Inputs!$C$4)</f>
        <v/>
      </c>
      <c r="D181" s="18" t="str">
        <f>IF(A181 = MAX($A$2:A1000), Inputs!$C$2, "")</f>
        <v/>
      </c>
      <c r="E181" s="18" t="str">
        <f t="shared" si="1"/>
        <v/>
      </c>
    </row>
    <row r="182">
      <c r="B182" s="18" t="str">
        <f>IF(A182="","",A182/Inputs!$C$4)</f>
        <v/>
      </c>
      <c r="C182" s="18" t="str">
        <f>IF(A182="","",(Inputs!$C$3*Inputs!$C$2)/Inputs!$C$4)</f>
        <v/>
      </c>
      <c r="D182" s="18" t="str">
        <f>IF(A182 = MAX($A$2:A1000), Inputs!$C$2, "")</f>
        <v/>
      </c>
      <c r="E182" s="18" t="str">
        <f t="shared" si="1"/>
        <v/>
      </c>
    </row>
    <row r="183">
      <c r="B183" s="18" t="str">
        <f>IF(A183="","",A183/Inputs!$C$4)</f>
        <v/>
      </c>
      <c r="C183" s="18" t="str">
        <f>IF(A183="","",(Inputs!$C$3*Inputs!$C$2)/Inputs!$C$4)</f>
        <v/>
      </c>
      <c r="D183" s="18" t="str">
        <f>IF(A183 = MAX($A$2:A1000), Inputs!$C$2, "")</f>
        <v/>
      </c>
      <c r="E183" s="18" t="str">
        <f t="shared" si="1"/>
        <v/>
      </c>
    </row>
    <row r="184">
      <c r="B184" s="18" t="str">
        <f>IF(A184="","",A184/Inputs!$C$4)</f>
        <v/>
      </c>
      <c r="C184" s="18" t="str">
        <f>IF(A184="","",(Inputs!$C$3*Inputs!$C$2)/Inputs!$C$4)</f>
        <v/>
      </c>
      <c r="D184" s="18" t="str">
        <f>IF(A184 = MAX($A$2:A1000), Inputs!$C$2, "")</f>
        <v/>
      </c>
      <c r="E184" s="18" t="str">
        <f t="shared" si="1"/>
        <v/>
      </c>
    </row>
    <row r="185">
      <c r="B185" s="18" t="str">
        <f>IF(A185="","",A185/Inputs!$C$4)</f>
        <v/>
      </c>
      <c r="C185" s="18" t="str">
        <f>IF(A185="","",(Inputs!$C$3*Inputs!$C$2)/Inputs!$C$4)</f>
        <v/>
      </c>
      <c r="D185" s="18" t="str">
        <f>IF(A185 = MAX($A$2:A1000), Inputs!$C$2, "")</f>
        <v/>
      </c>
      <c r="E185" s="18" t="str">
        <f t="shared" si="1"/>
        <v/>
      </c>
    </row>
    <row r="186">
      <c r="B186" s="18" t="str">
        <f>IF(A186="","",A186/Inputs!$C$4)</f>
        <v/>
      </c>
      <c r="C186" s="18" t="str">
        <f>IF(A186="","",(Inputs!$C$3*Inputs!$C$2)/Inputs!$C$4)</f>
        <v/>
      </c>
      <c r="D186" s="18" t="str">
        <f>IF(A186 = MAX($A$2:A1000), Inputs!$C$2, "")</f>
        <v/>
      </c>
      <c r="E186" s="18" t="str">
        <f t="shared" si="1"/>
        <v/>
      </c>
    </row>
    <row r="187">
      <c r="B187" s="18" t="str">
        <f>IF(A187="","",A187/Inputs!$C$4)</f>
        <v/>
      </c>
      <c r="C187" s="18" t="str">
        <f>IF(A187="","",(Inputs!$C$3*Inputs!$C$2)/Inputs!$C$4)</f>
        <v/>
      </c>
      <c r="D187" s="18" t="str">
        <f>IF(A187 = MAX($A$2:A1000), Inputs!$C$2, "")</f>
        <v/>
      </c>
      <c r="E187" s="18" t="str">
        <f t="shared" si="1"/>
        <v/>
      </c>
    </row>
    <row r="188">
      <c r="B188" s="18" t="str">
        <f>IF(A188="","",A188/Inputs!$C$4)</f>
        <v/>
      </c>
      <c r="C188" s="18" t="str">
        <f>IF(A188="","",(Inputs!$C$3*Inputs!$C$2)/Inputs!$C$4)</f>
        <v/>
      </c>
      <c r="D188" s="18" t="str">
        <f>IF(A188 = MAX($A$2:A1000), Inputs!$C$2, "")</f>
        <v/>
      </c>
      <c r="E188" s="18" t="str">
        <f t="shared" si="1"/>
        <v/>
      </c>
    </row>
    <row r="189">
      <c r="B189" s="18" t="str">
        <f>IF(A189="","",A189/Inputs!$C$4)</f>
        <v/>
      </c>
      <c r="C189" s="18" t="str">
        <f>IF(A189="","",(Inputs!$C$3*Inputs!$C$2)/Inputs!$C$4)</f>
        <v/>
      </c>
      <c r="D189" s="18" t="str">
        <f>IF(A189 = MAX($A$2:A1000), Inputs!$C$2, "")</f>
        <v/>
      </c>
      <c r="E189" s="18" t="str">
        <f t="shared" si="1"/>
        <v/>
      </c>
    </row>
    <row r="190">
      <c r="B190" s="18" t="str">
        <f>IF(A190="","",A190/Inputs!$C$4)</f>
        <v/>
      </c>
      <c r="C190" s="18" t="str">
        <f>IF(A190="","",(Inputs!$C$3*Inputs!$C$2)/Inputs!$C$4)</f>
        <v/>
      </c>
      <c r="D190" s="18" t="str">
        <f>IF(A190 = MAX($A$2:A1000), Inputs!$C$2, "")</f>
        <v/>
      </c>
      <c r="E190" s="18" t="str">
        <f t="shared" si="1"/>
        <v/>
      </c>
    </row>
    <row r="191">
      <c r="B191" s="18" t="str">
        <f>IF(A191="","",A191/Inputs!$C$4)</f>
        <v/>
      </c>
      <c r="C191" s="18" t="str">
        <f>IF(A191="","",(Inputs!$C$3*Inputs!$C$2)/Inputs!$C$4)</f>
        <v/>
      </c>
      <c r="D191" s="18" t="str">
        <f>IF(A191 = MAX($A$2:A1000), Inputs!$C$2, "")</f>
        <v/>
      </c>
      <c r="E191" s="18" t="str">
        <f t="shared" si="1"/>
        <v/>
      </c>
    </row>
    <row r="192">
      <c r="B192" s="18" t="str">
        <f>IF(A192="","",A192/Inputs!$C$4)</f>
        <v/>
      </c>
      <c r="C192" s="18" t="str">
        <f>IF(A192="","",(Inputs!$C$3*Inputs!$C$2)/Inputs!$C$4)</f>
        <v/>
      </c>
      <c r="D192" s="18" t="str">
        <f>IF(A192 = MAX($A$2:A1000), Inputs!$C$2, "")</f>
        <v/>
      </c>
      <c r="E192" s="18" t="str">
        <f t="shared" si="1"/>
        <v/>
      </c>
    </row>
    <row r="193">
      <c r="B193" s="18" t="str">
        <f>IF(A193="","",A193/Inputs!$C$4)</f>
        <v/>
      </c>
      <c r="C193" s="18" t="str">
        <f>IF(A193="","",(Inputs!$C$3*Inputs!$C$2)/Inputs!$C$4)</f>
        <v/>
      </c>
      <c r="D193" s="18" t="str">
        <f>IF(A193 = MAX($A$2:A1000), Inputs!$C$2, "")</f>
        <v/>
      </c>
      <c r="E193" s="18" t="str">
        <f t="shared" si="1"/>
        <v/>
      </c>
    </row>
    <row r="194">
      <c r="B194" s="18" t="str">
        <f>IF(A194="","",A194/Inputs!$C$4)</f>
        <v/>
      </c>
      <c r="C194" s="18" t="str">
        <f>IF(A194="","",(Inputs!$C$3*Inputs!$C$2)/Inputs!$C$4)</f>
        <v/>
      </c>
      <c r="D194" s="18" t="str">
        <f>IF(A194 = MAX($A$2:A1000), Inputs!$C$2, "")</f>
        <v/>
      </c>
      <c r="E194" s="18" t="str">
        <f t="shared" si="1"/>
        <v/>
      </c>
    </row>
    <row r="195">
      <c r="B195" s="18" t="str">
        <f>IF(A195="","",A195/Inputs!$C$4)</f>
        <v/>
      </c>
      <c r="C195" s="18" t="str">
        <f>IF(A195="","",(Inputs!$C$3*Inputs!$C$2)/Inputs!$C$4)</f>
        <v/>
      </c>
      <c r="D195" s="18" t="str">
        <f>IF(A195 = MAX($A$2:A1000), Inputs!$C$2, "")</f>
        <v/>
      </c>
      <c r="E195" s="18" t="str">
        <f t="shared" si="1"/>
        <v/>
      </c>
    </row>
    <row r="196">
      <c r="B196" s="18" t="str">
        <f>IF(A196="","",A196/Inputs!$C$4)</f>
        <v/>
      </c>
      <c r="C196" s="18" t="str">
        <f>IF(A196="","",(Inputs!$C$3*Inputs!$C$2)/Inputs!$C$4)</f>
        <v/>
      </c>
      <c r="D196" s="18" t="str">
        <f>IF(A196 = MAX($A$2:A1000), Inputs!$C$2, "")</f>
        <v/>
      </c>
      <c r="E196" s="18" t="str">
        <f t="shared" si="1"/>
        <v/>
      </c>
    </row>
    <row r="197">
      <c r="B197" s="18" t="str">
        <f>IF(A197="","",A197/Inputs!$C$4)</f>
        <v/>
      </c>
      <c r="C197" s="18" t="str">
        <f>IF(A197="","",(Inputs!$C$3*Inputs!$C$2)/Inputs!$C$4)</f>
        <v/>
      </c>
      <c r="D197" s="18" t="str">
        <f>IF(A197 = MAX($A$2:A1000), Inputs!$C$2, "")</f>
        <v/>
      </c>
      <c r="E197" s="18" t="str">
        <f t="shared" si="1"/>
        <v/>
      </c>
    </row>
    <row r="198">
      <c r="B198" s="18" t="str">
        <f>IF(A198="","",A198/Inputs!$C$4)</f>
        <v/>
      </c>
      <c r="C198" s="18" t="str">
        <f>IF(A198="","",(Inputs!$C$3*Inputs!$C$2)/Inputs!$C$4)</f>
        <v/>
      </c>
      <c r="D198" s="18" t="str">
        <f>IF(A198 = MAX($A$2:A1000), Inputs!$C$2, "")</f>
        <v/>
      </c>
      <c r="E198" s="18" t="str">
        <f t="shared" si="1"/>
        <v/>
      </c>
    </row>
    <row r="199">
      <c r="B199" s="18" t="str">
        <f>IF(A199="","",A199/Inputs!$C$4)</f>
        <v/>
      </c>
      <c r="C199" s="18" t="str">
        <f>IF(A199="","",(Inputs!$C$3*Inputs!$C$2)/Inputs!$C$4)</f>
        <v/>
      </c>
      <c r="D199" s="18" t="str">
        <f>IF(A199 = MAX($A$2:A1000), Inputs!$C$2, "")</f>
        <v/>
      </c>
      <c r="E199" s="18" t="str">
        <f t="shared" si="1"/>
        <v/>
      </c>
    </row>
    <row r="200">
      <c r="B200" s="18" t="str">
        <f>IF(A200="","",A200/Inputs!$C$4)</f>
        <v/>
      </c>
      <c r="C200" s="18" t="str">
        <f>IF(A200="","",(Inputs!$C$3*Inputs!$C$2)/Inputs!$C$4)</f>
        <v/>
      </c>
      <c r="D200" s="18" t="str">
        <f>IF(A200 = MAX($A$2:A1000), Inputs!$C$2, "")</f>
        <v/>
      </c>
      <c r="E200" s="18" t="str">
        <f t="shared" si="1"/>
        <v/>
      </c>
    </row>
    <row r="201">
      <c r="B201" s="18" t="str">
        <f>IF(A201="","",A201/Inputs!$C$4)</f>
        <v/>
      </c>
      <c r="C201" s="18" t="str">
        <f>IF(A201="","",(Inputs!$C$3*Inputs!$C$2)/Inputs!$C$4)</f>
        <v/>
      </c>
      <c r="D201" s="18" t="str">
        <f>IF(A201 = MAX($A$2:A1000), Inputs!$C$2, "")</f>
        <v/>
      </c>
      <c r="E201" s="18" t="str">
        <f t="shared" si="1"/>
        <v/>
      </c>
    </row>
    <row r="202">
      <c r="B202" s="18" t="str">
        <f>IF(A202="","",A202/Inputs!$C$4)</f>
        <v/>
      </c>
      <c r="C202" s="18" t="str">
        <f>IF(A202="","",(Inputs!$C$3*Inputs!$C$2)/Inputs!$C$4)</f>
        <v/>
      </c>
      <c r="D202" s="18" t="str">
        <f>IF(A202 = MAX($A$2:A1000), Inputs!$C$2, "")</f>
        <v/>
      </c>
      <c r="E202" s="18" t="str">
        <f t="shared" si="1"/>
        <v/>
      </c>
    </row>
    <row r="203">
      <c r="B203" s="18" t="str">
        <f>IF(A203="","",A203/Inputs!$C$4)</f>
        <v/>
      </c>
      <c r="C203" s="18" t="str">
        <f>IF(A203="","",(Inputs!$C$3*Inputs!$C$2)/Inputs!$C$4)</f>
        <v/>
      </c>
      <c r="D203" s="18" t="str">
        <f>IF(A203 = MAX($A$2:A1000), Inputs!$C$2, "")</f>
        <v/>
      </c>
      <c r="E203" s="18" t="str">
        <f t="shared" si="1"/>
        <v/>
      </c>
    </row>
    <row r="204">
      <c r="B204" s="18" t="str">
        <f>IF(A204="","",A204/Inputs!$C$4)</f>
        <v/>
      </c>
      <c r="C204" s="18" t="str">
        <f>IF(A204="","",(Inputs!$C$3*Inputs!$C$2)/Inputs!$C$4)</f>
        <v/>
      </c>
      <c r="D204" s="18" t="str">
        <f>IF(A204 = MAX($A$2:A1000), Inputs!$C$2, "")</f>
        <v/>
      </c>
      <c r="E204" s="18" t="str">
        <f t="shared" si="1"/>
        <v/>
      </c>
    </row>
    <row r="205">
      <c r="B205" s="18" t="str">
        <f>IF(A205="","",A205/Inputs!$C$4)</f>
        <v/>
      </c>
      <c r="C205" s="18" t="str">
        <f>IF(A205="","",(Inputs!$C$3*Inputs!$C$2)/Inputs!$C$4)</f>
        <v/>
      </c>
      <c r="D205" s="18" t="str">
        <f>IF(A205 = MAX($A$2:A1000), Inputs!$C$2, "")</f>
        <v/>
      </c>
      <c r="E205" s="18" t="str">
        <f t="shared" si="1"/>
        <v/>
      </c>
    </row>
    <row r="206">
      <c r="B206" s="18" t="str">
        <f>IF(A206="","",A206/Inputs!$C$4)</f>
        <v/>
      </c>
      <c r="C206" s="18" t="str">
        <f>IF(A206="","",(Inputs!$C$3*Inputs!$C$2)/Inputs!$C$4)</f>
        <v/>
      </c>
      <c r="D206" s="18" t="str">
        <f>IF(A206 = MAX($A$2:A1000), Inputs!$C$2, "")</f>
        <v/>
      </c>
      <c r="E206" s="18" t="str">
        <f t="shared" si="1"/>
        <v/>
      </c>
    </row>
    <row r="207">
      <c r="B207" s="18" t="str">
        <f>IF(A207="","",A207/Inputs!$C$4)</f>
        <v/>
      </c>
      <c r="C207" s="18" t="str">
        <f>IF(A207="","",(Inputs!$C$3*Inputs!$C$2)/Inputs!$C$4)</f>
        <v/>
      </c>
      <c r="D207" s="18" t="str">
        <f>IF(A207 = MAX($A$2:A1000), Inputs!$C$2, "")</f>
        <v/>
      </c>
      <c r="E207" s="18" t="str">
        <f t="shared" si="1"/>
        <v/>
      </c>
    </row>
    <row r="208">
      <c r="B208" s="18" t="str">
        <f>IF(A208="","",A208/Inputs!$C$4)</f>
        <v/>
      </c>
      <c r="C208" s="18" t="str">
        <f>IF(A208="","",(Inputs!$C$3*Inputs!$C$2)/Inputs!$C$4)</f>
        <v/>
      </c>
      <c r="D208" s="18" t="str">
        <f>IF(A208 = MAX($A$2:A1000), Inputs!$C$2, "")</f>
        <v/>
      </c>
      <c r="E208" s="18" t="str">
        <f t="shared" si="1"/>
        <v/>
      </c>
    </row>
    <row r="209">
      <c r="B209" s="18" t="str">
        <f>IF(A209="","",A209/Inputs!$C$4)</f>
        <v/>
      </c>
      <c r="C209" s="18" t="str">
        <f>IF(A209="","",(Inputs!$C$3*Inputs!$C$2)/Inputs!$C$4)</f>
        <v/>
      </c>
      <c r="D209" s="18" t="str">
        <f>IF(A209 = MAX($A$2:A1000), Inputs!$C$2, "")</f>
        <v/>
      </c>
      <c r="E209" s="18" t="str">
        <f t="shared" si="1"/>
        <v/>
      </c>
    </row>
    <row r="210">
      <c r="B210" s="18" t="str">
        <f>IF(A210="","",A210/Inputs!$C$4)</f>
        <v/>
      </c>
      <c r="C210" s="18" t="str">
        <f>IF(A210="","",(Inputs!$C$3*Inputs!$C$2)/Inputs!$C$4)</f>
        <v/>
      </c>
      <c r="D210" s="18" t="str">
        <f>IF(A210 = MAX($A$2:A1000), Inputs!$C$2, "")</f>
        <v/>
      </c>
      <c r="E210" s="18" t="str">
        <f t="shared" si="1"/>
        <v/>
      </c>
    </row>
    <row r="211">
      <c r="B211" s="18" t="str">
        <f>IF(A211="","",A211/Inputs!$C$4)</f>
        <v/>
      </c>
      <c r="C211" s="18" t="str">
        <f>IF(A211="","",(Inputs!$C$3*Inputs!$C$2)/Inputs!$C$4)</f>
        <v/>
      </c>
      <c r="D211" s="18" t="str">
        <f>IF(A211 = MAX($A$2:A1000), Inputs!$C$2, "")</f>
        <v/>
      </c>
      <c r="E211" s="18" t="str">
        <f t="shared" si="1"/>
        <v/>
      </c>
    </row>
    <row r="212">
      <c r="B212" s="18" t="str">
        <f>IF(A212="","",A212/Inputs!$C$4)</f>
        <v/>
      </c>
      <c r="C212" s="18" t="str">
        <f>IF(A212="","",(Inputs!$C$3*Inputs!$C$2)/Inputs!$C$4)</f>
        <v/>
      </c>
      <c r="D212" s="18" t="str">
        <f>IF(A212 = MAX($A$2:A1000), Inputs!$C$2, "")</f>
        <v/>
      </c>
      <c r="E212" s="18" t="str">
        <f t="shared" si="1"/>
        <v/>
      </c>
    </row>
    <row r="213">
      <c r="B213" s="18" t="str">
        <f>IF(A213="","",A213/Inputs!$C$4)</f>
        <v/>
      </c>
      <c r="C213" s="18" t="str">
        <f>IF(A213="","",(Inputs!$C$3*Inputs!$C$2)/Inputs!$C$4)</f>
        <v/>
      </c>
      <c r="D213" s="18" t="str">
        <f>IF(A213 = MAX($A$2:A1000), Inputs!$C$2, "")</f>
        <v/>
      </c>
      <c r="E213" s="18" t="str">
        <f t="shared" si="1"/>
        <v/>
      </c>
    </row>
    <row r="214">
      <c r="B214" s="18" t="str">
        <f>IF(A214="","",A214/Inputs!$C$4)</f>
        <v/>
      </c>
      <c r="C214" s="18" t="str">
        <f>IF(A214="","",(Inputs!$C$3*Inputs!$C$2)/Inputs!$C$4)</f>
        <v/>
      </c>
      <c r="D214" s="18" t="str">
        <f>IF(A214 = MAX($A$2:A1000), Inputs!$C$2, "")</f>
        <v/>
      </c>
      <c r="E214" s="18" t="str">
        <f t="shared" si="1"/>
        <v/>
      </c>
    </row>
    <row r="215">
      <c r="B215" s="18" t="str">
        <f>IF(A215="","",A215/Inputs!$C$4)</f>
        <v/>
      </c>
      <c r="C215" s="18" t="str">
        <f>IF(A215="","",(Inputs!$C$3*Inputs!$C$2)/Inputs!$C$4)</f>
        <v/>
      </c>
      <c r="D215" s="18" t="str">
        <f>IF(A215 = MAX($A$2:A1000), Inputs!$C$2, "")</f>
        <v/>
      </c>
      <c r="E215" s="18" t="str">
        <f t="shared" si="1"/>
        <v/>
      </c>
    </row>
    <row r="216">
      <c r="B216" s="18" t="str">
        <f>IF(A216="","",A216/Inputs!$C$4)</f>
        <v/>
      </c>
      <c r="C216" s="18" t="str">
        <f>IF(A216="","",(Inputs!$C$3*Inputs!$C$2)/Inputs!$C$4)</f>
        <v/>
      </c>
      <c r="D216" s="18" t="str">
        <f>IF(A216 = MAX($A$2:A1000), Inputs!$C$2, "")</f>
        <v/>
      </c>
      <c r="E216" s="18" t="str">
        <f t="shared" si="1"/>
        <v/>
      </c>
    </row>
    <row r="217">
      <c r="B217" s="18" t="str">
        <f>IF(A217="","",A217/Inputs!$C$4)</f>
        <v/>
      </c>
      <c r="C217" s="18" t="str">
        <f>IF(A217="","",(Inputs!$C$3*Inputs!$C$2)/Inputs!$C$4)</f>
        <v/>
      </c>
      <c r="D217" s="18" t="str">
        <f>IF(A217 = MAX($A$2:A1000), Inputs!$C$2, "")</f>
        <v/>
      </c>
      <c r="E217" s="18" t="str">
        <f t="shared" si="1"/>
        <v/>
      </c>
    </row>
    <row r="218">
      <c r="B218" s="18" t="str">
        <f>IF(A218="","",A218/Inputs!$C$4)</f>
        <v/>
      </c>
      <c r="C218" s="18" t="str">
        <f>IF(A218="","",(Inputs!$C$3*Inputs!$C$2)/Inputs!$C$4)</f>
        <v/>
      </c>
      <c r="D218" s="18" t="str">
        <f>IF(A218 = MAX($A$2:A1000), Inputs!$C$2, "")</f>
        <v/>
      </c>
      <c r="E218" s="18" t="str">
        <f t="shared" si="1"/>
        <v/>
      </c>
    </row>
    <row r="219">
      <c r="B219" s="18" t="str">
        <f>IF(A219="","",A219/Inputs!$C$4)</f>
        <v/>
      </c>
      <c r="C219" s="18" t="str">
        <f>IF(A219="","",(Inputs!$C$3*Inputs!$C$2)/Inputs!$C$4)</f>
        <v/>
      </c>
      <c r="D219" s="18" t="str">
        <f>IF(A219 = MAX($A$2:A1000), Inputs!$C$2, "")</f>
        <v/>
      </c>
      <c r="E219" s="18" t="str">
        <f t="shared" si="1"/>
        <v/>
      </c>
    </row>
    <row r="220">
      <c r="B220" s="18" t="str">
        <f>IF(A220="","",A220/Inputs!$C$4)</f>
        <v/>
      </c>
      <c r="C220" s="18" t="str">
        <f>IF(A220="","",(Inputs!$C$3*Inputs!$C$2)/Inputs!$C$4)</f>
        <v/>
      </c>
      <c r="D220" s="18" t="str">
        <f>IF(A220 = MAX($A$2:A1000), Inputs!$C$2, "")</f>
        <v/>
      </c>
      <c r="E220" s="18" t="str">
        <f t="shared" si="1"/>
        <v/>
      </c>
    </row>
    <row r="221">
      <c r="B221" s="18" t="str">
        <f>IF(A221="","",A221/Inputs!$C$4)</f>
        <v/>
      </c>
      <c r="C221" s="18" t="str">
        <f>IF(A221="","",(Inputs!$C$3*Inputs!$C$2)/Inputs!$C$4)</f>
        <v/>
      </c>
      <c r="D221" s="18" t="str">
        <f>IF(A221 = MAX($A$2:A1000), Inputs!$C$2, "")</f>
        <v/>
      </c>
      <c r="E221" s="18" t="str">
        <f t="shared" si="1"/>
        <v/>
      </c>
    </row>
    <row r="222">
      <c r="B222" s="18" t="str">
        <f>IF(A222="","",A222/Inputs!$C$4)</f>
        <v/>
      </c>
      <c r="C222" s="18" t="str">
        <f>IF(A222="","",(Inputs!$C$3*Inputs!$C$2)/Inputs!$C$4)</f>
        <v/>
      </c>
      <c r="D222" s="18" t="str">
        <f>IF(A222 = MAX($A$2:A1000), Inputs!$C$2, "")</f>
        <v/>
      </c>
      <c r="E222" s="18" t="str">
        <f t="shared" si="1"/>
        <v/>
      </c>
    </row>
    <row r="223">
      <c r="B223" s="18" t="str">
        <f>IF(A223="","",A223/Inputs!$C$4)</f>
        <v/>
      </c>
      <c r="C223" s="18" t="str">
        <f>IF(A223="","",(Inputs!$C$3*Inputs!$C$2)/Inputs!$C$4)</f>
        <v/>
      </c>
      <c r="D223" s="18" t="str">
        <f>IF(A223 = MAX($A$2:A1000), Inputs!$C$2, "")</f>
        <v/>
      </c>
      <c r="E223" s="18" t="str">
        <f t="shared" si="1"/>
        <v/>
      </c>
    </row>
    <row r="224">
      <c r="B224" s="18" t="str">
        <f>IF(A224="","",A224/Inputs!$C$4)</f>
        <v/>
      </c>
      <c r="C224" s="18" t="str">
        <f>IF(A224="","",(Inputs!$C$3*Inputs!$C$2)/Inputs!$C$4)</f>
        <v/>
      </c>
      <c r="D224" s="18" t="str">
        <f>IF(A224 = MAX($A$2:A1000), Inputs!$C$2, "")</f>
        <v/>
      </c>
      <c r="E224" s="18" t="str">
        <f t="shared" si="1"/>
        <v/>
      </c>
    </row>
    <row r="225">
      <c r="B225" s="18" t="str">
        <f>IF(A225="","",A225/Inputs!$C$4)</f>
        <v/>
      </c>
      <c r="C225" s="18" t="str">
        <f>IF(A225="","",(Inputs!$C$3*Inputs!$C$2)/Inputs!$C$4)</f>
        <v/>
      </c>
      <c r="D225" s="18" t="str">
        <f>IF(A225 = MAX($A$2:A1000), Inputs!$C$2, "")</f>
        <v/>
      </c>
      <c r="E225" s="18" t="str">
        <f t="shared" si="1"/>
        <v/>
      </c>
    </row>
    <row r="226">
      <c r="B226" s="18" t="str">
        <f>IF(A226="","",A226/Inputs!$C$4)</f>
        <v/>
      </c>
      <c r="C226" s="18" t="str">
        <f>IF(A226="","",(Inputs!$C$3*Inputs!$C$2)/Inputs!$C$4)</f>
        <v/>
      </c>
      <c r="D226" s="18" t="str">
        <f>IF(A226 = MAX($A$2:A1000), Inputs!$C$2, "")</f>
        <v/>
      </c>
      <c r="E226" s="18" t="str">
        <f t="shared" si="1"/>
        <v/>
      </c>
    </row>
    <row r="227">
      <c r="B227" s="18" t="str">
        <f>IF(A227="","",A227/Inputs!$C$4)</f>
        <v/>
      </c>
      <c r="C227" s="18" t="str">
        <f>IF(A227="","",(Inputs!$C$3*Inputs!$C$2)/Inputs!$C$4)</f>
        <v/>
      </c>
      <c r="D227" s="18" t="str">
        <f>IF(A227 = MAX($A$2:A1000), Inputs!$C$2, "")</f>
        <v/>
      </c>
      <c r="E227" s="18" t="str">
        <f t="shared" si="1"/>
        <v/>
      </c>
    </row>
    <row r="228">
      <c r="B228" s="18" t="str">
        <f>IF(A228="","",A228/Inputs!$C$4)</f>
        <v/>
      </c>
      <c r="C228" s="18" t="str">
        <f>IF(A228="","",(Inputs!$C$3*Inputs!$C$2)/Inputs!$C$4)</f>
        <v/>
      </c>
      <c r="D228" s="18" t="str">
        <f>IF(A228 = MAX($A$2:A1000), Inputs!$C$2, "")</f>
        <v/>
      </c>
      <c r="E228" s="18" t="str">
        <f t="shared" si="1"/>
        <v/>
      </c>
    </row>
    <row r="229">
      <c r="B229" s="18" t="str">
        <f>IF(A229="","",A229/Inputs!$C$4)</f>
        <v/>
      </c>
      <c r="C229" s="18" t="str">
        <f>IF(A229="","",(Inputs!$C$3*Inputs!$C$2)/Inputs!$C$4)</f>
        <v/>
      </c>
      <c r="D229" s="18" t="str">
        <f>IF(A229 = MAX($A$2:A1000), Inputs!$C$2, "")</f>
        <v/>
      </c>
      <c r="E229" s="18" t="str">
        <f t="shared" si="1"/>
        <v/>
      </c>
    </row>
    <row r="230">
      <c r="B230" s="18" t="str">
        <f>IF(A230="","",A230/Inputs!$C$4)</f>
        <v/>
      </c>
      <c r="C230" s="18" t="str">
        <f>IF(A230="","",(Inputs!$C$3*Inputs!$C$2)/Inputs!$C$4)</f>
        <v/>
      </c>
      <c r="D230" s="18" t="str">
        <f>IF(A230 = MAX($A$2:A1000), Inputs!$C$2, "")</f>
        <v/>
      </c>
      <c r="E230" s="18" t="str">
        <f t="shared" si="1"/>
        <v/>
      </c>
    </row>
    <row r="231">
      <c r="B231" s="18" t="str">
        <f>IF(A231="","",A231/Inputs!$C$4)</f>
        <v/>
      </c>
      <c r="C231" s="18" t="str">
        <f>IF(A231="","",(Inputs!$C$3*Inputs!$C$2)/Inputs!$C$4)</f>
        <v/>
      </c>
      <c r="D231" s="18" t="str">
        <f>IF(A231 = MAX($A$2:A1000), Inputs!$C$2, "")</f>
        <v/>
      </c>
      <c r="E231" s="18" t="str">
        <f t="shared" si="1"/>
        <v/>
      </c>
    </row>
    <row r="232">
      <c r="B232" s="18" t="str">
        <f>IF(A232="","",A232/Inputs!$C$4)</f>
        <v/>
      </c>
      <c r="C232" s="18" t="str">
        <f>IF(A232="","",(Inputs!$C$3*Inputs!$C$2)/Inputs!$C$4)</f>
        <v/>
      </c>
      <c r="D232" s="18" t="str">
        <f>IF(A232 = MAX($A$2:A1000), Inputs!$C$2, "")</f>
        <v/>
      </c>
      <c r="E232" s="18" t="str">
        <f t="shared" si="1"/>
        <v/>
      </c>
    </row>
    <row r="233">
      <c r="B233" s="18" t="str">
        <f>IF(A233="","",A233/Inputs!$C$4)</f>
        <v/>
      </c>
      <c r="C233" s="18" t="str">
        <f>IF(A233="","",(Inputs!$C$3*Inputs!$C$2)/Inputs!$C$4)</f>
        <v/>
      </c>
      <c r="D233" s="18" t="str">
        <f>IF(A233 = MAX($A$2:A1000), Inputs!$C$2, "")</f>
        <v/>
      </c>
      <c r="E233" s="18" t="str">
        <f t="shared" si="1"/>
        <v/>
      </c>
    </row>
    <row r="234">
      <c r="B234" s="18" t="str">
        <f>IF(A234="","",A234/Inputs!$C$4)</f>
        <v/>
      </c>
      <c r="C234" s="18" t="str">
        <f>IF(A234="","",(Inputs!$C$3*Inputs!$C$2)/Inputs!$C$4)</f>
        <v/>
      </c>
      <c r="D234" s="18" t="str">
        <f>IF(A234 = MAX($A$2:A1000), Inputs!$C$2, "")</f>
        <v/>
      </c>
      <c r="E234" s="18" t="str">
        <f t="shared" si="1"/>
        <v/>
      </c>
    </row>
    <row r="235">
      <c r="B235" s="18" t="str">
        <f>IF(A235="","",A235/Inputs!$C$4)</f>
        <v/>
      </c>
      <c r="C235" s="18" t="str">
        <f>IF(A235="","",(Inputs!$C$3*Inputs!$C$2)/Inputs!$C$4)</f>
        <v/>
      </c>
      <c r="D235" s="18" t="str">
        <f>IF(A235 = MAX($A$2:A1000), Inputs!$C$2, "")</f>
        <v/>
      </c>
      <c r="E235" s="18" t="str">
        <f t="shared" si="1"/>
        <v/>
      </c>
    </row>
    <row r="236">
      <c r="B236" s="18" t="str">
        <f>IF(A236="","",A236/Inputs!$C$4)</f>
        <v/>
      </c>
      <c r="C236" s="18" t="str">
        <f>IF(A236="","",(Inputs!$C$3*Inputs!$C$2)/Inputs!$C$4)</f>
        <v/>
      </c>
      <c r="D236" s="18" t="str">
        <f>IF(A236 = MAX($A$2:A1000), Inputs!$C$2, "")</f>
        <v/>
      </c>
      <c r="E236" s="18" t="str">
        <f t="shared" si="1"/>
        <v/>
      </c>
    </row>
    <row r="237">
      <c r="B237" s="18" t="str">
        <f>IF(A237="","",A237/Inputs!$C$4)</f>
        <v/>
      </c>
      <c r="C237" s="18" t="str">
        <f>IF(A237="","",(Inputs!$C$3*Inputs!$C$2)/Inputs!$C$4)</f>
        <v/>
      </c>
      <c r="D237" s="18" t="str">
        <f>IF(A237 = MAX($A$2:A1000), Inputs!$C$2, "")</f>
        <v/>
      </c>
      <c r="E237" s="18" t="str">
        <f t="shared" si="1"/>
        <v/>
      </c>
    </row>
    <row r="238">
      <c r="B238" s="18" t="str">
        <f>IF(A238="","",A238/Inputs!$C$4)</f>
        <v/>
      </c>
      <c r="C238" s="18" t="str">
        <f>IF(A238="","",(Inputs!$C$3*Inputs!$C$2)/Inputs!$C$4)</f>
        <v/>
      </c>
      <c r="D238" s="18" t="str">
        <f>IF(A238 = MAX($A$2:A1000), Inputs!$C$2, "")</f>
        <v/>
      </c>
      <c r="E238" s="18" t="str">
        <f t="shared" si="1"/>
        <v/>
      </c>
    </row>
    <row r="239">
      <c r="B239" s="18" t="str">
        <f>IF(A239="","",A239/Inputs!$C$4)</f>
        <v/>
      </c>
      <c r="C239" s="18" t="str">
        <f>IF(A239="","",(Inputs!$C$3*Inputs!$C$2)/Inputs!$C$4)</f>
        <v/>
      </c>
      <c r="D239" s="18" t="str">
        <f>IF(A239 = MAX($A$2:A1000), Inputs!$C$2, "")</f>
        <v/>
      </c>
      <c r="E239" s="18" t="str">
        <f t="shared" si="1"/>
        <v/>
      </c>
    </row>
    <row r="240">
      <c r="B240" s="18" t="str">
        <f>IF(A240="","",A240/Inputs!$C$4)</f>
        <v/>
      </c>
      <c r="C240" s="18" t="str">
        <f>IF(A240="","",(Inputs!$C$3*Inputs!$C$2)/Inputs!$C$4)</f>
        <v/>
      </c>
      <c r="D240" s="18" t="str">
        <f>IF(A240 = MAX($A$2:A1000), Inputs!$C$2, "")</f>
        <v/>
      </c>
      <c r="E240" s="18" t="str">
        <f t="shared" si="1"/>
        <v/>
      </c>
    </row>
    <row r="241">
      <c r="B241" s="18" t="str">
        <f>IF(A241="","",A241/Inputs!$C$4)</f>
        <v/>
      </c>
      <c r="C241" s="18" t="str">
        <f>IF(A241="","",(Inputs!$C$3*Inputs!$C$2)/Inputs!$C$4)</f>
        <v/>
      </c>
      <c r="D241" s="18" t="str">
        <f>IF(A241 = MAX($A$2:A1000), Inputs!$C$2, "")</f>
        <v/>
      </c>
      <c r="E241" s="18" t="str">
        <f t="shared" si="1"/>
        <v/>
      </c>
    </row>
    <row r="242">
      <c r="B242" s="18" t="str">
        <f>IF(A242="","",A242/Inputs!$C$4)</f>
        <v/>
      </c>
      <c r="C242" s="18" t="str">
        <f>IF(A242="","",(Inputs!$C$3*Inputs!$C$2)/Inputs!$C$4)</f>
        <v/>
      </c>
      <c r="D242" s="18" t="str">
        <f>IF(A242 = MAX($A$2:A1000), Inputs!$C$2, "")</f>
        <v/>
      </c>
      <c r="E242" s="18" t="str">
        <f t="shared" si="1"/>
        <v/>
      </c>
    </row>
    <row r="243">
      <c r="B243" s="18" t="str">
        <f>IF(A243="","",A243/Inputs!$C$4)</f>
        <v/>
      </c>
      <c r="C243" s="18" t="str">
        <f>IF(A243="","",(Inputs!$C$3*Inputs!$C$2)/Inputs!$C$4)</f>
        <v/>
      </c>
      <c r="D243" s="18" t="str">
        <f>IF(A243 = MAX($A$2:A1000), Inputs!$C$2, "")</f>
        <v/>
      </c>
      <c r="E243" s="18" t="str">
        <f t="shared" si="1"/>
        <v/>
      </c>
    </row>
    <row r="244">
      <c r="B244" s="18" t="str">
        <f>IF(A244="","",A244/Inputs!$C$4)</f>
        <v/>
      </c>
      <c r="C244" s="18" t="str">
        <f>IF(A244="","",(Inputs!$C$3*Inputs!$C$2)/Inputs!$C$4)</f>
        <v/>
      </c>
      <c r="D244" s="18" t="str">
        <f>IF(A244 = MAX($A$2:A1000), Inputs!$C$2, "")</f>
        <v/>
      </c>
      <c r="E244" s="18" t="str">
        <f t="shared" si="1"/>
        <v/>
      </c>
    </row>
    <row r="245">
      <c r="B245" s="18" t="str">
        <f>IF(A245="","",A245/Inputs!$C$4)</f>
        <v/>
      </c>
      <c r="C245" s="18" t="str">
        <f>IF(A245="","",(Inputs!$C$3*Inputs!$C$2)/Inputs!$C$4)</f>
        <v/>
      </c>
      <c r="D245" s="18" t="str">
        <f>IF(A245 = MAX($A$2:A1000), Inputs!$C$2, "")</f>
        <v/>
      </c>
      <c r="E245" s="18" t="str">
        <f t="shared" si="1"/>
        <v/>
      </c>
    </row>
    <row r="246">
      <c r="B246" s="18" t="str">
        <f>IF(A246="","",A246/Inputs!$C$4)</f>
        <v/>
      </c>
      <c r="C246" s="18" t="str">
        <f>IF(A246="","",(Inputs!$C$3*Inputs!$C$2)/Inputs!$C$4)</f>
        <v/>
      </c>
      <c r="D246" s="18" t="str">
        <f>IF(A246 = MAX($A$2:A1000), Inputs!$C$2, "")</f>
        <v/>
      </c>
      <c r="E246" s="18" t="str">
        <f t="shared" si="1"/>
        <v/>
      </c>
    </row>
    <row r="247">
      <c r="B247" s="18" t="str">
        <f>IF(A247="","",A247/Inputs!$C$4)</f>
        <v/>
      </c>
      <c r="C247" s="18" t="str">
        <f>IF(A247="","",(Inputs!$C$3*Inputs!$C$2)/Inputs!$C$4)</f>
        <v/>
      </c>
      <c r="D247" s="18" t="str">
        <f>IF(A247 = MAX($A$2:A1000), Inputs!$C$2, "")</f>
        <v/>
      </c>
      <c r="E247" s="18" t="str">
        <f t="shared" si="1"/>
        <v/>
      </c>
    </row>
    <row r="248">
      <c r="B248" s="18" t="str">
        <f>IF(A248="","",A248/Inputs!$C$4)</f>
        <v/>
      </c>
      <c r="C248" s="18" t="str">
        <f>IF(A248="","",(Inputs!$C$3*Inputs!$C$2)/Inputs!$C$4)</f>
        <v/>
      </c>
      <c r="D248" s="18" t="str">
        <f>IF(A248 = MAX($A$2:A1000), Inputs!$C$2, "")</f>
        <v/>
      </c>
      <c r="E248" s="18" t="str">
        <f t="shared" si="1"/>
        <v/>
      </c>
    </row>
    <row r="249">
      <c r="B249" s="18" t="str">
        <f>IF(A249="","",A249/Inputs!$C$4)</f>
        <v/>
      </c>
      <c r="C249" s="18" t="str">
        <f>IF(A249="","",(Inputs!$C$3*Inputs!$C$2)/Inputs!$C$4)</f>
        <v/>
      </c>
      <c r="D249" s="18" t="str">
        <f>IF(A249 = MAX($A$2:A1000), Inputs!$C$2, "")</f>
        <v/>
      </c>
      <c r="E249" s="18" t="str">
        <f t="shared" si="1"/>
        <v/>
      </c>
    </row>
    <row r="250">
      <c r="B250" s="18" t="str">
        <f>IF(A250="","",A250/Inputs!$C$4)</f>
        <v/>
      </c>
      <c r="C250" s="18" t="str">
        <f>IF(A250="","",(Inputs!$C$3*Inputs!$C$2)/Inputs!$C$4)</f>
        <v/>
      </c>
      <c r="D250" s="18" t="str">
        <f>IF(A250 = MAX($A$2:A1000), Inputs!$C$2, "")</f>
        <v/>
      </c>
      <c r="E250" s="18" t="str">
        <f t="shared" si="1"/>
        <v/>
      </c>
    </row>
    <row r="251">
      <c r="B251" s="18" t="str">
        <f>IF(A251="","",A251/Inputs!$C$4)</f>
        <v/>
      </c>
      <c r="C251" s="18" t="str">
        <f>IF(A251="","",(Inputs!$C$3*Inputs!$C$2)/Inputs!$C$4)</f>
        <v/>
      </c>
      <c r="D251" s="18" t="str">
        <f>IF(A251 = MAX($A$2:A1000), Inputs!$C$2, "")</f>
        <v/>
      </c>
      <c r="E251" s="18" t="str">
        <f t="shared" si="1"/>
        <v/>
      </c>
    </row>
    <row r="252">
      <c r="B252" s="18" t="str">
        <f>IF(A252="","",A252/Inputs!$C$4)</f>
        <v/>
      </c>
      <c r="C252" s="18" t="str">
        <f>IF(A252="","",(Inputs!$C$3*Inputs!$C$2)/Inputs!$C$4)</f>
        <v/>
      </c>
      <c r="D252" s="18" t="str">
        <f>IF(A252 = MAX($A$2:A1000), Inputs!$C$2, "")</f>
        <v/>
      </c>
      <c r="E252" s="18" t="str">
        <f t="shared" si="1"/>
        <v/>
      </c>
    </row>
    <row r="253">
      <c r="B253" s="18" t="str">
        <f>IF(A253="","",A253/Inputs!$C$4)</f>
        <v/>
      </c>
      <c r="C253" s="18" t="str">
        <f>IF(A253="","",(Inputs!$C$3*Inputs!$C$2)/Inputs!$C$4)</f>
        <v/>
      </c>
      <c r="D253" s="18" t="str">
        <f>IF(A253 = MAX($A$2:A1000), Inputs!$C$2, "")</f>
        <v/>
      </c>
      <c r="E253" s="18" t="str">
        <f t="shared" si="1"/>
        <v/>
      </c>
    </row>
    <row r="254">
      <c r="B254" s="18" t="str">
        <f>IF(A254="","",A254/Inputs!$C$4)</f>
        <v/>
      </c>
      <c r="C254" s="18" t="str">
        <f>IF(A254="","",(Inputs!$C$3*Inputs!$C$2)/Inputs!$C$4)</f>
        <v/>
      </c>
      <c r="D254" s="18" t="str">
        <f>IF(A254 = MAX($A$2:A1000), Inputs!$C$2, "")</f>
        <v/>
      </c>
      <c r="E254" s="18" t="str">
        <f t="shared" si="1"/>
        <v/>
      </c>
    </row>
    <row r="255">
      <c r="B255" s="18" t="str">
        <f>IF(A255="","",A255/Inputs!$C$4)</f>
        <v/>
      </c>
      <c r="C255" s="18" t="str">
        <f>IF(A255="","",(Inputs!$C$3*Inputs!$C$2)/Inputs!$C$4)</f>
        <v/>
      </c>
      <c r="D255" s="18" t="str">
        <f>IF(A255 = MAX($A$2:A1000), Inputs!$C$2, "")</f>
        <v/>
      </c>
      <c r="E255" s="18" t="str">
        <f t="shared" si="1"/>
        <v/>
      </c>
    </row>
    <row r="256">
      <c r="B256" s="18" t="str">
        <f>IF(A256="","",A256/Inputs!$C$4)</f>
        <v/>
      </c>
      <c r="C256" s="18" t="str">
        <f>IF(A256="","",(Inputs!$C$3*Inputs!$C$2)/Inputs!$C$4)</f>
        <v/>
      </c>
      <c r="D256" s="18" t="str">
        <f>IF(A256 = MAX($A$2:A1000), Inputs!$C$2, "")</f>
        <v/>
      </c>
      <c r="E256" s="18" t="str">
        <f t="shared" si="1"/>
        <v/>
      </c>
    </row>
    <row r="257">
      <c r="B257" s="18" t="str">
        <f>IF(A257="","",A257/Inputs!$C$4)</f>
        <v/>
      </c>
      <c r="C257" s="18" t="str">
        <f>IF(A257="","",(Inputs!$C$3*Inputs!$C$2)/Inputs!$C$4)</f>
        <v/>
      </c>
      <c r="D257" s="18" t="str">
        <f>IF(A257 = MAX($A$2:A1000), Inputs!$C$2, "")</f>
        <v/>
      </c>
      <c r="E257" s="18" t="str">
        <f t="shared" si="1"/>
        <v/>
      </c>
    </row>
    <row r="258">
      <c r="B258" s="18" t="str">
        <f>IF(A258="","",A258/Inputs!$C$4)</f>
        <v/>
      </c>
      <c r="C258" s="18" t="str">
        <f>IF(A258="","",(Inputs!$C$3*Inputs!$C$2)/Inputs!$C$4)</f>
        <v/>
      </c>
      <c r="D258" s="18" t="str">
        <f>IF(A258 = MAX($A$2:A1000), Inputs!$C$2, "")</f>
        <v/>
      </c>
      <c r="E258" s="18" t="str">
        <f t="shared" si="1"/>
        <v/>
      </c>
    </row>
    <row r="259">
      <c r="B259" s="18" t="str">
        <f>IF(A259="","",A259/Inputs!$C$4)</f>
        <v/>
      </c>
      <c r="C259" s="18" t="str">
        <f>IF(A259="","",(Inputs!$C$3*Inputs!$C$2)/Inputs!$C$4)</f>
        <v/>
      </c>
      <c r="D259" s="18" t="str">
        <f>IF(A259 = MAX($A$2:A1000), Inputs!$C$2, "")</f>
        <v/>
      </c>
      <c r="E259" s="18" t="str">
        <f t="shared" si="1"/>
        <v/>
      </c>
    </row>
    <row r="260">
      <c r="B260" s="18" t="str">
        <f>IF(A260="","",A260/Inputs!$C$4)</f>
        <v/>
      </c>
      <c r="C260" s="18" t="str">
        <f>IF(A260="","",(Inputs!$C$3*Inputs!$C$2)/Inputs!$C$4)</f>
        <v/>
      </c>
      <c r="D260" s="18" t="str">
        <f>IF(A260 = MAX($A$2:A1000), Inputs!$C$2, "")</f>
        <v/>
      </c>
      <c r="E260" s="18" t="str">
        <f t="shared" si="1"/>
        <v/>
      </c>
    </row>
    <row r="261">
      <c r="B261" s="18" t="str">
        <f>IF(A261="","",A261/Inputs!$C$4)</f>
        <v/>
      </c>
      <c r="C261" s="18" t="str">
        <f>IF(A261="","",(Inputs!$C$3*Inputs!$C$2)/Inputs!$C$4)</f>
        <v/>
      </c>
      <c r="D261" s="18" t="str">
        <f>IF(A261 = MAX($A$2:A1000), Inputs!$C$2, "")</f>
        <v/>
      </c>
      <c r="E261" s="18" t="str">
        <f t="shared" si="1"/>
        <v/>
      </c>
    </row>
    <row r="262">
      <c r="B262" s="18" t="str">
        <f>IF(A262="","",A262/Inputs!$C$4)</f>
        <v/>
      </c>
      <c r="C262" s="18" t="str">
        <f>IF(A262="","",(Inputs!$C$3*Inputs!$C$2)/Inputs!$C$4)</f>
        <v/>
      </c>
      <c r="D262" s="18" t="str">
        <f>IF(A262 = MAX($A$2:A1000), Inputs!$C$2, "")</f>
        <v/>
      </c>
      <c r="E262" s="18" t="str">
        <f t="shared" si="1"/>
        <v/>
      </c>
    </row>
    <row r="263">
      <c r="B263" s="18" t="str">
        <f>IF(A263="","",A263/Inputs!$C$4)</f>
        <v/>
      </c>
      <c r="C263" s="18" t="str">
        <f>IF(A263="","",(Inputs!$C$3*Inputs!$C$2)/Inputs!$C$4)</f>
        <v/>
      </c>
      <c r="D263" s="18" t="str">
        <f>IF(A263 = MAX($A$2:A1000), Inputs!$C$2, "")</f>
        <v/>
      </c>
      <c r="E263" s="18" t="str">
        <f t="shared" si="1"/>
        <v/>
      </c>
    </row>
    <row r="264">
      <c r="B264" s="18" t="str">
        <f>IF(A264="","",A264/Inputs!$C$4)</f>
        <v/>
      </c>
      <c r="C264" s="18" t="str">
        <f>IF(A264="","",(Inputs!$C$3*Inputs!$C$2)/Inputs!$C$4)</f>
        <v/>
      </c>
      <c r="D264" s="18" t="str">
        <f>IF(A264 = MAX($A$2:A1000), Inputs!$C$2, "")</f>
        <v/>
      </c>
      <c r="E264" s="18" t="str">
        <f t="shared" si="1"/>
        <v/>
      </c>
    </row>
    <row r="265">
      <c r="B265" s="18" t="str">
        <f>IF(A265="","",A265/Inputs!$C$4)</f>
        <v/>
      </c>
      <c r="C265" s="18" t="str">
        <f>IF(A265="","",(Inputs!$C$3*Inputs!$C$2)/Inputs!$C$4)</f>
        <v/>
      </c>
      <c r="D265" s="18" t="str">
        <f>IF(A265 = MAX($A$2:A1000), Inputs!$C$2, "")</f>
        <v/>
      </c>
      <c r="E265" s="18" t="str">
        <f t="shared" si="1"/>
        <v/>
      </c>
    </row>
    <row r="266">
      <c r="B266" s="18" t="str">
        <f>IF(A266="","",A266/Inputs!$C$4)</f>
        <v/>
      </c>
      <c r="C266" s="18" t="str">
        <f>IF(A266="","",(Inputs!$C$3*Inputs!$C$2)/Inputs!$C$4)</f>
        <v/>
      </c>
      <c r="D266" s="18" t="str">
        <f>IF(A266 = MAX($A$2:A1000), Inputs!$C$2, "")</f>
        <v/>
      </c>
      <c r="E266" s="18" t="str">
        <f t="shared" si="1"/>
        <v/>
      </c>
    </row>
    <row r="267">
      <c r="B267" s="18" t="str">
        <f>IF(A267="","",A267/Inputs!$C$4)</f>
        <v/>
      </c>
      <c r="C267" s="18" t="str">
        <f>IF(A267="","",(Inputs!$C$3*Inputs!$C$2)/Inputs!$C$4)</f>
        <v/>
      </c>
      <c r="D267" s="18" t="str">
        <f>IF(A267 = MAX($A$2:A1000), Inputs!$C$2, "")</f>
        <v/>
      </c>
      <c r="E267" s="18" t="str">
        <f t="shared" si="1"/>
        <v/>
      </c>
    </row>
    <row r="268">
      <c r="B268" s="18" t="str">
        <f>IF(A268="","",A268/Inputs!$C$4)</f>
        <v/>
      </c>
      <c r="C268" s="18" t="str">
        <f>IF(A268="","",(Inputs!$C$3*Inputs!$C$2)/Inputs!$C$4)</f>
        <v/>
      </c>
      <c r="D268" s="18" t="str">
        <f>IF(A268 = MAX($A$2:A1000), Inputs!$C$2, "")</f>
        <v/>
      </c>
      <c r="E268" s="18" t="str">
        <f t="shared" si="1"/>
        <v/>
      </c>
    </row>
    <row r="269">
      <c r="B269" s="18" t="str">
        <f>IF(A269="","",A269/Inputs!$C$4)</f>
        <v/>
      </c>
      <c r="C269" s="18" t="str">
        <f>IF(A269="","",(Inputs!$C$3*Inputs!$C$2)/Inputs!$C$4)</f>
        <v/>
      </c>
      <c r="D269" s="18" t="str">
        <f>IF(A269 = MAX($A$2:A1000), Inputs!$C$2, "")</f>
        <v/>
      </c>
      <c r="E269" s="18" t="str">
        <f t="shared" si="1"/>
        <v/>
      </c>
    </row>
    <row r="270">
      <c r="B270" s="18" t="str">
        <f>IF(A270="","",A270/Inputs!$C$4)</f>
        <v/>
      </c>
      <c r="C270" s="18" t="str">
        <f>IF(A270="","",(Inputs!$C$3*Inputs!$C$2)/Inputs!$C$4)</f>
        <v/>
      </c>
      <c r="D270" s="18" t="str">
        <f>IF(A270 = MAX($A$2:A1000), Inputs!$C$2, "")</f>
        <v/>
      </c>
      <c r="E270" s="18" t="str">
        <f t="shared" si="1"/>
        <v/>
      </c>
    </row>
    <row r="271">
      <c r="B271" s="18" t="str">
        <f>IF(A271="","",A271/Inputs!$C$4)</f>
        <v/>
      </c>
      <c r="C271" s="18" t="str">
        <f>IF(A271="","",(Inputs!$C$3*Inputs!$C$2)/Inputs!$C$4)</f>
        <v/>
      </c>
      <c r="D271" s="18" t="str">
        <f>IF(A271 = MAX($A$2:A1000), Inputs!$C$2, "")</f>
        <v/>
      </c>
      <c r="E271" s="18" t="str">
        <f t="shared" si="1"/>
        <v/>
      </c>
    </row>
    <row r="272">
      <c r="B272" s="18" t="str">
        <f>IF(A272="","",A272/Inputs!$C$4)</f>
        <v/>
      </c>
      <c r="C272" s="18" t="str">
        <f>IF(A272="","",(Inputs!$C$3*Inputs!$C$2)/Inputs!$C$4)</f>
        <v/>
      </c>
      <c r="D272" s="18" t="str">
        <f>IF(A272 = MAX($A$2:A1000), Inputs!$C$2, "")</f>
        <v/>
      </c>
      <c r="E272" s="18" t="str">
        <f t="shared" si="1"/>
        <v/>
      </c>
    </row>
    <row r="273">
      <c r="B273" s="18" t="str">
        <f>IF(A273="","",A273/Inputs!$C$4)</f>
        <v/>
      </c>
      <c r="C273" s="18" t="str">
        <f>IF(A273="","",(Inputs!$C$3*Inputs!$C$2)/Inputs!$C$4)</f>
        <v/>
      </c>
      <c r="D273" s="18" t="str">
        <f>IF(A273 = MAX($A$2:A1000), Inputs!$C$2, "")</f>
        <v/>
      </c>
      <c r="E273" s="18" t="str">
        <f t="shared" si="1"/>
        <v/>
      </c>
    </row>
    <row r="274">
      <c r="B274" s="18" t="str">
        <f>IF(A274="","",A274/Inputs!$C$4)</f>
        <v/>
      </c>
      <c r="C274" s="18" t="str">
        <f>IF(A274="","",(Inputs!$C$3*Inputs!$C$2)/Inputs!$C$4)</f>
        <v/>
      </c>
      <c r="D274" s="18" t="str">
        <f>IF(A274 = MAX($A$2:A1000), Inputs!$C$2, "")</f>
        <v/>
      </c>
      <c r="E274" s="18" t="str">
        <f t="shared" si="1"/>
        <v/>
      </c>
    </row>
    <row r="275">
      <c r="B275" s="18" t="str">
        <f>IF(A275="","",A275/Inputs!$C$4)</f>
        <v/>
      </c>
      <c r="C275" s="18" t="str">
        <f>IF(A275="","",(Inputs!$C$3*Inputs!$C$2)/Inputs!$C$4)</f>
        <v/>
      </c>
      <c r="D275" s="18" t="str">
        <f>IF(A275 = MAX($A$2:A1000), Inputs!$C$2, "")</f>
        <v/>
      </c>
      <c r="E275" s="18" t="str">
        <f t="shared" si="1"/>
        <v/>
      </c>
    </row>
    <row r="276">
      <c r="B276" s="18" t="str">
        <f>IF(A276="","",A276/Inputs!$C$4)</f>
        <v/>
      </c>
      <c r="C276" s="18" t="str">
        <f>IF(A276="","",(Inputs!$C$3*Inputs!$C$2)/Inputs!$C$4)</f>
        <v/>
      </c>
      <c r="D276" s="18" t="str">
        <f>IF(A276 = MAX($A$2:A1000), Inputs!$C$2, "")</f>
        <v/>
      </c>
      <c r="E276" s="18" t="str">
        <f t="shared" si="1"/>
        <v/>
      </c>
    </row>
    <row r="277">
      <c r="B277" s="18" t="str">
        <f>IF(A277="","",A277/Inputs!$C$4)</f>
        <v/>
      </c>
      <c r="C277" s="18" t="str">
        <f>IF(A277="","",(Inputs!$C$3*Inputs!$C$2)/Inputs!$C$4)</f>
        <v/>
      </c>
      <c r="D277" s="18" t="str">
        <f>IF(A277 = MAX($A$2:A1000), Inputs!$C$2, "")</f>
        <v/>
      </c>
      <c r="E277" s="18" t="str">
        <f t="shared" si="1"/>
        <v/>
      </c>
    </row>
    <row r="278">
      <c r="B278" s="18" t="str">
        <f>IF(A278="","",A278/Inputs!$C$4)</f>
        <v/>
      </c>
      <c r="C278" s="18" t="str">
        <f>IF(A278="","",(Inputs!$C$3*Inputs!$C$2)/Inputs!$C$4)</f>
        <v/>
      </c>
      <c r="D278" s="18" t="str">
        <f>IF(A278 = MAX($A$2:A1000), Inputs!$C$2, "")</f>
        <v/>
      </c>
      <c r="E278" s="18" t="str">
        <f t="shared" si="1"/>
        <v/>
      </c>
    </row>
    <row r="279">
      <c r="B279" s="18" t="str">
        <f>IF(A279="","",A279/Inputs!$C$4)</f>
        <v/>
      </c>
      <c r="C279" s="18" t="str">
        <f>IF(A279="","",(Inputs!$C$3*Inputs!$C$2)/Inputs!$C$4)</f>
        <v/>
      </c>
      <c r="D279" s="18" t="str">
        <f>IF(A279 = MAX($A$2:A1000), Inputs!$C$2, "")</f>
        <v/>
      </c>
      <c r="E279" s="18" t="str">
        <f t="shared" si="1"/>
        <v/>
      </c>
    </row>
    <row r="280">
      <c r="B280" s="18" t="str">
        <f>IF(A280="","",A280/Inputs!$C$4)</f>
        <v/>
      </c>
      <c r="C280" s="18" t="str">
        <f>IF(A280="","",(Inputs!$C$3*Inputs!$C$2)/Inputs!$C$4)</f>
        <v/>
      </c>
      <c r="D280" s="18" t="str">
        <f>IF(A280 = MAX($A$2:A1000), Inputs!$C$2, "")</f>
        <v/>
      </c>
      <c r="E280" s="18" t="str">
        <f t="shared" si="1"/>
        <v/>
      </c>
    </row>
    <row r="281">
      <c r="B281" s="18" t="str">
        <f>IF(A281="","",A281/Inputs!$C$4)</f>
        <v/>
      </c>
      <c r="C281" s="18" t="str">
        <f>IF(A281="","",(Inputs!$C$3*Inputs!$C$2)/Inputs!$C$4)</f>
        <v/>
      </c>
      <c r="D281" s="18" t="str">
        <f>IF(A281 = MAX($A$2:A1000), Inputs!$C$2, "")</f>
        <v/>
      </c>
      <c r="E281" s="18" t="str">
        <f t="shared" si="1"/>
        <v/>
      </c>
    </row>
    <row r="282">
      <c r="B282" s="18" t="str">
        <f>IF(A282="","",A282/Inputs!$C$4)</f>
        <v/>
      </c>
      <c r="C282" s="18" t="str">
        <f>IF(A282="","",(Inputs!$C$3*Inputs!$C$2)/Inputs!$C$4)</f>
        <v/>
      </c>
      <c r="D282" s="18" t="str">
        <f>IF(A282 = MAX($A$2:A1000), Inputs!$C$2, "")</f>
        <v/>
      </c>
      <c r="E282" s="18" t="str">
        <f t="shared" si="1"/>
        <v/>
      </c>
    </row>
    <row r="283">
      <c r="B283" s="18" t="str">
        <f>IF(A283="","",A283/Inputs!$C$4)</f>
        <v/>
      </c>
      <c r="C283" s="18" t="str">
        <f>IF(A283="","",(Inputs!$C$3*Inputs!$C$2)/Inputs!$C$4)</f>
        <v/>
      </c>
      <c r="D283" s="18" t="str">
        <f>IF(A283 = MAX($A$2:A1000), Inputs!$C$2, "")</f>
        <v/>
      </c>
      <c r="E283" s="18" t="str">
        <f t="shared" si="1"/>
        <v/>
      </c>
    </row>
    <row r="284">
      <c r="B284" s="18" t="str">
        <f>IF(A284="","",A284/Inputs!$C$4)</f>
        <v/>
      </c>
      <c r="C284" s="18" t="str">
        <f>IF(A284="","",(Inputs!$C$3*Inputs!$C$2)/Inputs!$C$4)</f>
        <v/>
      </c>
      <c r="D284" s="18" t="str">
        <f>IF(A284 = MAX($A$2:A1000), Inputs!$C$2, "")</f>
        <v/>
      </c>
      <c r="E284" s="18" t="str">
        <f t="shared" si="1"/>
        <v/>
      </c>
    </row>
    <row r="285">
      <c r="B285" s="18" t="str">
        <f>IF(A285="","",A285/Inputs!$C$4)</f>
        <v/>
      </c>
      <c r="C285" s="18" t="str">
        <f>IF(A285="","",(Inputs!$C$3*Inputs!$C$2)/Inputs!$C$4)</f>
        <v/>
      </c>
      <c r="D285" s="18" t="str">
        <f>IF(A285 = MAX($A$2:A1000), Inputs!$C$2, "")</f>
        <v/>
      </c>
      <c r="E285" s="18" t="str">
        <f t="shared" si="1"/>
        <v/>
      </c>
    </row>
    <row r="286">
      <c r="B286" s="18" t="str">
        <f>IF(A286="","",A286/Inputs!$C$4)</f>
        <v/>
      </c>
      <c r="C286" s="18" t="str">
        <f>IF(A286="","",(Inputs!$C$3*Inputs!$C$2)/Inputs!$C$4)</f>
        <v/>
      </c>
      <c r="D286" s="18" t="str">
        <f>IF(A286 = MAX($A$2:A1000), Inputs!$C$2, "")</f>
        <v/>
      </c>
      <c r="E286" s="18" t="str">
        <f t="shared" si="1"/>
        <v/>
      </c>
    </row>
    <row r="287">
      <c r="B287" s="18" t="str">
        <f>IF(A287="","",A287/Inputs!$C$4)</f>
        <v/>
      </c>
      <c r="C287" s="18" t="str">
        <f>IF(A287="","",(Inputs!$C$3*Inputs!$C$2)/Inputs!$C$4)</f>
        <v/>
      </c>
      <c r="D287" s="18" t="str">
        <f>IF(A287 = MAX($A$2:A1000), Inputs!$C$2, "")</f>
        <v/>
      </c>
      <c r="E287" s="18" t="str">
        <f t="shared" si="1"/>
        <v/>
      </c>
    </row>
    <row r="288">
      <c r="B288" s="18" t="str">
        <f>IF(A288="","",A288/Inputs!$C$4)</f>
        <v/>
      </c>
      <c r="C288" s="18" t="str">
        <f>IF(A288="","",(Inputs!$C$3*Inputs!$C$2)/Inputs!$C$4)</f>
        <v/>
      </c>
      <c r="D288" s="18" t="str">
        <f>IF(A288 = MAX($A$2:A1000), Inputs!$C$2, "")</f>
        <v/>
      </c>
      <c r="E288" s="18" t="str">
        <f t="shared" si="1"/>
        <v/>
      </c>
    </row>
    <row r="289">
      <c r="B289" s="18" t="str">
        <f>IF(A289="","",A289/Inputs!$C$4)</f>
        <v/>
      </c>
      <c r="C289" s="18" t="str">
        <f>IF(A289="","",(Inputs!$C$3*Inputs!$C$2)/Inputs!$C$4)</f>
        <v/>
      </c>
      <c r="D289" s="18" t="str">
        <f>IF(A289 = MAX($A$2:A1000), Inputs!$C$2, "")</f>
        <v/>
      </c>
      <c r="E289" s="18" t="str">
        <f t="shared" si="1"/>
        <v/>
      </c>
    </row>
    <row r="290">
      <c r="B290" s="18" t="str">
        <f>IF(A290="","",A290/Inputs!$C$4)</f>
        <v/>
      </c>
      <c r="C290" s="18" t="str">
        <f>IF(A290="","",(Inputs!$C$3*Inputs!$C$2)/Inputs!$C$4)</f>
        <v/>
      </c>
      <c r="D290" s="18" t="str">
        <f>IF(A290 = MAX($A$2:A1000), Inputs!$C$2, "")</f>
        <v/>
      </c>
      <c r="E290" s="18" t="str">
        <f t="shared" si="1"/>
        <v/>
      </c>
    </row>
    <row r="291">
      <c r="B291" s="18" t="str">
        <f>IF(A291="","",A291/Inputs!$C$4)</f>
        <v/>
      </c>
      <c r="C291" s="18" t="str">
        <f>IF(A291="","",(Inputs!$C$3*Inputs!$C$2)/Inputs!$C$4)</f>
        <v/>
      </c>
      <c r="D291" s="18" t="str">
        <f>IF(A291 = MAX($A$2:A1000), Inputs!$C$2, "")</f>
        <v/>
      </c>
      <c r="E291" s="18" t="str">
        <f t="shared" si="1"/>
        <v/>
      </c>
    </row>
    <row r="292">
      <c r="B292" s="18" t="str">
        <f>IF(A292="","",A292/Inputs!$C$4)</f>
        <v/>
      </c>
      <c r="C292" s="18" t="str">
        <f>IF(A292="","",(Inputs!$C$3*Inputs!$C$2)/Inputs!$C$4)</f>
        <v/>
      </c>
      <c r="D292" s="18" t="str">
        <f>IF(A292 = MAX($A$2:A1000), Inputs!$C$2, "")</f>
        <v/>
      </c>
      <c r="E292" s="18" t="str">
        <f t="shared" si="1"/>
        <v/>
      </c>
    </row>
    <row r="293">
      <c r="B293" s="18" t="str">
        <f>IF(A293="","",A293/Inputs!$C$4)</f>
        <v/>
      </c>
      <c r="C293" s="18" t="str">
        <f>IF(A293="","",(Inputs!$C$3*Inputs!$C$2)/Inputs!$C$4)</f>
        <v/>
      </c>
      <c r="D293" s="18" t="str">
        <f>IF(A293 = MAX($A$2:A1000), Inputs!$C$2, "")</f>
        <v/>
      </c>
      <c r="E293" s="18" t="str">
        <f t="shared" si="1"/>
        <v/>
      </c>
    </row>
    <row r="294">
      <c r="B294" s="18" t="str">
        <f>IF(A294="","",A294/Inputs!$C$4)</f>
        <v/>
      </c>
      <c r="C294" s="18" t="str">
        <f>IF(A294="","",(Inputs!$C$3*Inputs!$C$2)/Inputs!$C$4)</f>
        <v/>
      </c>
      <c r="D294" s="18" t="str">
        <f>IF(A294 = MAX($A$2:A1000), Inputs!$C$2, "")</f>
        <v/>
      </c>
      <c r="E294" s="18" t="str">
        <f t="shared" si="1"/>
        <v/>
      </c>
    </row>
    <row r="295">
      <c r="B295" s="18" t="str">
        <f>IF(A295="","",A295/Inputs!$C$4)</f>
        <v/>
      </c>
      <c r="C295" s="18" t="str">
        <f>IF(A295="","",(Inputs!$C$3*Inputs!$C$2)/Inputs!$C$4)</f>
        <v/>
      </c>
      <c r="D295" s="18" t="str">
        <f>IF(A295 = MAX($A$2:A1000), Inputs!$C$2, "")</f>
        <v/>
      </c>
      <c r="E295" s="18" t="str">
        <f t="shared" si="1"/>
        <v/>
      </c>
    </row>
    <row r="296">
      <c r="B296" s="18" t="str">
        <f>IF(A296="","",A296/Inputs!$C$4)</f>
        <v/>
      </c>
      <c r="C296" s="18" t="str">
        <f>IF(A296="","",(Inputs!$C$3*Inputs!$C$2)/Inputs!$C$4)</f>
        <v/>
      </c>
      <c r="D296" s="18" t="str">
        <f>IF(A296 = MAX($A$2:A1000), Inputs!$C$2, "")</f>
        <v/>
      </c>
      <c r="E296" s="18" t="str">
        <f t="shared" si="1"/>
        <v/>
      </c>
    </row>
    <row r="297">
      <c r="B297" s="18" t="str">
        <f>IF(A297="","",A297/Inputs!$C$4)</f>
        <v/>
      </c>
      <c r="C297" s="18" t="str">
        <f>IF(A297="","",(Inputs!$C$3*Inputs!$C$2)/Inputs!$C$4)</f>
        <v/>
      </c>
      <c r="D297" s="18" t="str">
        <f>IF(A297 = MAX($A$2:A1000), Inputs!$C$2, "")</f>
        <v/>
      </c>
      <c r="E297" s="18" t="str">
        <f t="shared" si="1"/>
        <v/>
      </c>
    </row>
    <row r="298">
      <c r="B298" s="18" t="str">
        <f>IF(A298="","",A298/Inputs!$C$4)</f>
        <v/>
      </c>
      <c r="C298" s="18" t="str">
        <f>IF(A298="","",(Inputs!$C$3*Inputs!$C$2)/Inputs!$C$4)</f>
        <v/>
      </c>
      <c r="D298" s="18" t="str">
        <f>IF(A298 = MAX($A$2:A1000), Inputs!$C$2, "")</f>
        <v/>
      </c>
      <c r="E298" s="18" t="str">
        <f t="shared" si="1"/>
        <v/>
      </c>
    </row>
    <row r="299">
      <c r="B299" s="18" t="str">
        <f>IF(A299="","",A299/Inputs!$C$4)</f>
        <v/>
      </c>
      <c r="C299" s="18" t="str">
        <f>IF(A299="","",(Inputs!$C$3*Inputs!$C$2)/Inputs!$C$4)</f>
        <v/>
      </c>
      <c r="D299" s="18" t="str">
        <f>IF(A299 = MAX($A$2:A1000), Inputs!$C$2, "")</f>
        <v/>
      </c>
      <c r="E299" s="18" t="str">
        <f t="shared" si="1"/>
        <v/>
      </c>
    </row>
    <row r="300">
      <c r="B300" s="18" t="str">
        <f>IF(A300="","",A300/Inputs!$C$4)</f>
        <v/>
      </c>
      <c r="C300" s="18" t="str">
        <f>IF(A300="","",(Inputs!$C$3*Inputs!$C$2)/Inputs!$C$4)</f>
        <v/>
      </c>
      <c r="D300" s="18" t="str">
        <f>IF(A300 = MAX($A$2:A1000), Inputs!$C$2, "")</f>
        <v/>
      </c>
      <c r="E300" s="18" t="str">
        <f t="shared" si="1"/>
        <v/>
      </c>
    </row>
    <row r="301">
      <c r="B301" s="18" t="str">
        <f>IF(A301="","",A301/Inputs!$C$4)</f>
        <v/>
      </c>
      <c r="C301" s="18" t="str">
        <f>IF(A301="","",(Inputs!$C$3*Inputs!$C$2)/Inputs!$C$4)</f>
        <v/>
      </c>
      <c r="D301" s="18" t="str">
        <f>IF(A301 = MAX($A$2:A1000), Inputs!$C$2, "")</f>
        <v/>
      </c>
      <c r="E301" s="18" t="str">
        <f t="shared" si="1"/>
        <v/>
      </c>
    </row>
    <row r="302">
      <c r="B302" s="18" t="str">
        <f>IF(A302="","",A302/Inputs!$C$4)</f>
        <v/>
      </c>
      <c r="C302" s="18" t="str">
        <f>IF(A302="","",(Inputs!$C$3*Inputs!$C$2)/Inputs!$C$4)</f>
        <v/>
      </c>
      <c r="D302" s="18" t="str">
        <f>IF(A302 = MAX($A$2:A1000), Inputs!$C$2, "")</f>
        <v/>
      </c>
      <c r="E302" s="18" t="str">
        <f t="shared" si="1"/>
        <v/>
      </c>
    </row>
    <row r="303">
      <c r="B303" s="18" t="str">
        <f>IF(A303="","",A303/Inputs!$C$4)</f>
        <v/>
      </c>
      <c r="C303" s="18" t="str">
        <f>IF(A303="","",(Inputs!$C$3*Inputs!$C$2)/Inputs!$C$4)</f>
        <v/>
      </c>
      <c r="D303" s="18" t="str">
        <f>IF(A303 = MAX($A$2:A1000), Inputs!$C$2, "")</f>
        <v/>
      </c>
      <c r="E303" s="18" t="str">
        <f t="shared" si="1"/>
        <v/>
      </c>
    </row>
    <row r="304">
      <c r="B304" s="18" t="str">
        <f>IF(A304="","",A304/Inputs!$C$4)</f>
        <v/>
      </c>
      <c r="C304" s="18" t="str">
        <f>IF(A304="","",(Inputs!$C$3*Inputs!$C$2)/Inputs!$C$4)</f>
        <v/>
      </c>
      <c r="D304" s="18" t="str">
        <f>IF(A304 = MAX($A$2:A1000), Inputs!$C$2, "")</f>
        <v/>
      </c>
      <c r="E304" s="18" t="str">
        <f t="shared" si="1"/>
        <v/>
      </c>
    </row>
    <row r="305">
      <c r="B305" s="18" t="str">
        <f>IF(A305="","",A305/Inputs!$C$4)</f>
        <v/>
      </c>
      <c r="C305" s="18" t="str">
        <f>IF(A305="","",(Inputs!$C$3*Inputs!$C$2)/Inputs!$C$4)</f>
        <v/>
      </c>
      <c r="D305" s="18" t="str">
        <f>IF(A305 = MAX($A$2:A1000), Inputs!$C$2, "")</f>
        <v/>
      </c>
      <c r="E305" s="18" t="str">
        <f t="shared" si="1"/>
        <v/>
      </c>
    </row>
    <row r="306">
      <c r="B306" s="18" t="str">
        <f>IF(A306="","",A306/Inputs!$C$4)</f>
        <v/>
      </c>
      <c r="C306" s="18" t="str">
        <f>IF(A306="","",(Inputs!$C$3*Inputs!$C$2)/Inputs!$C$4)</f>
        <v/>
      </c>
      <c r="D306" s="18" t="str">
        <f>IF(A306 = MAX($A$2:A1000), Inputs!$C$2, "")</f>
        <v/>
      </c>
      <c r="E306" s="18" t="str">
        <f t="shared" si="1"/>
        <v/>
      </c>
    </row>
    <row r="307">
      <c r="B307" s="18" t="str">
        <f>IF(A307="","",A307/Inputs!$C$4)</f>
        <v/>
      </c>
      <c r="C307" s="18" t="str">
        <f>IF(A307="","",(Inputs!$C$3*Inputs!$C$2)/Inputs!$C$4)</f>
        <v/>
      </c>
      <c r="D307" s="18" t="str">
        <f>IF(A307 = MAX($A$2:A1000), Inputs!$C$2, "")</f>
        <v/>
      </c>
      <c r="E307" s="18" t="str">
        <f t="shared" si="1"/>
        <v/>
      </c>
    </row>
    <row r="308">
      <c r="B308" s="18" t="str">
        <f>IF(A308="","",A308/Inputs!$C$4)</f>
        <v/>
      </c>
      <c r="C308" s="18" t="str">
        <f>IF(A308="","",(Inputs!$C$3*Inputs!$C$2)/Inputs!$C$4)</f>
        <v/>
      </c>
      <c r="D308" s="18" t="str">
        <f>IF(A308 = MAX($A$2:A1000), Inputs!$C$2, "")</f>
        <v/>
      </c>
      <c r="E308" s="18" t="str">
        <f t="shared" si="1"/>
        <v/>
      </c>
    </row>
    <row r="309">
      <c r="B309" s="18" t="str">
        <f>IF(A309="","",A309/Inputs!$C$4)</f>
        <v/>
      </c>
      <c r="C309" s="18" t="str">
        <f>IF(A309="","",(Inputs!$C$3*Inputs!$C$2)/Inputs!$C$4)</f>
        <v/>
      </c>
      <c r="D309" s="18" t="str">
        <f>IF(A309 = MAX($A$2:A1000), Inputs!$C$2, "")</f>
        <v/>
      </c>
      <c r="E309" s="18" t="str">
        <f t="shared" si="1"/>
        <v/>
      </c>
    </row>
    <row r="310">
      <c r="B310" s="18" t="str">
        <f>IF(A310="","",A310/Inputs!$C$4)</f>
        <v/>
      </c>
      <c r="C310" s="18" t="str">
        <f>IF(A310="","",(Inputs!$C$3*Inputs!$C$2)/Inputs!$C$4)</f>
        <v/>
      </c>
      <c r="D310" s="18" t="str">
        <f>IF(A310 = MAX($A$2:A1000), Inputs!$C$2, "")</f>
        <v/>
      </c>
      <c r="E310" s="18" t="str">
        <f t="shared" si="1"/>
        <v/>
      </c>
    </row>
    <row r="311">
      <c r="B311" s="18" t="str">
        <f>IF(A311="","",A311/Inputs!$C$4)</f>
        <v/>
      </c>
      <c r="C311" s="18" t="str">
        <f>IF(A311="","",(Inputs!$C$3*Inputs!$C$2)/Inputs!$C$4)</f>
        <v/>
      </c>
      <c r="D311" s="18" t="str">
        <f>IF(A311 = MAX($A$2:A1000), Inputs!$C$2, "")</f>
        <v/>
      </c>
      <c r="E311" s="18" t="str">
        <f t="shared" si="1"/>
        <v/>
      </c>
    </row>
    <row r="312">
      <c r="B312" s="18" t="str">
        <f>IF(A312="","",A312/Inputs!$C$4)</f>
        <v/>
      </c>
      <c r="C312" s="18" t="str">
        <f>IF(A312="","",(Inputs!$C$3*Inputs!$C$2)/Inputs!$C$4)</f>
        <v/>
      </c>
      <c r="D312" s="18" t="str">
        <f>IF(A312 = MAX($A$2:A1000), Inputs!$C$2, "")</f>
        <v/>
      </c>
      <c r="E312" s="18" t="str">
        <f t="shared" si="1"/>
        <v/>
      </c>
    </row>
    <row r="313">
      <c r="B313" s="18" t="str">
        <f>IF(A313="","",A313/Inputs!$C$4)</f>
        <v/>
      </c>
      <c r="C313" s="18" t="str">
        <f>IF(A313="","",(Inputs!$C$3*Inputs!$C$2)/Inputs!$C$4)</f>
        <v/>
      </c>
      <c r="D313" s="18" t="str">
        <f>IF(A313 = MAX($A$2:A1000), Inputs!$C$2, "")</f>
        <v/>
      </c>
      <c r="E313" s="18" t="str">
        <f t="shared" si="1"/>
        <v/>
      </c>
    </row>
    <row r="314">
      <c r="B314" s="18" t="str">
        <f>IF(A314="","",A314/Inputs!$C$4)</f>
        <v/>
      </c>
      <c r="C314" s="18" t="str">
        <f>IF(A314="","",(Inputs!$C$3*Inputs!$C$2)/Inputs!$C$4)</f>
        <v/>
      </c>
      <c r="D314" s="18" t="str">
        <f>IF(A314 = MAX($A$2:A1000), Inputs!$C$2, "")</f>
        <v/>
      </c>
      <c r="E314" s="18" t="str">
        <f t="shared" si="1"/>
        <v/>
      </c>
    </row>
    <row r="315">
      <c r="B315" s="18" t="str">
        <f>IF(A315="","",A315/Inputs!$C$4)</f>
        <v/>
      </c>
      <c r="C315" s="18" t="str">
        <f>IF(A315="","",(Inputs!$C$3*Inputs!$C$2)/Inputs!$C$4)</f>
        <v/>
      </c>
      <c r="D315" s="18" t="str">
        <f>IF(A315 = MAX($A$2:A1000), Inputs!$C$2, "")</f>
        <v/>
      </c>
      <c r="E315" s="18" t="str">
        <f t="shared" si="1"/>
        <v/>
      </c>
    </row>
    <row r="316">
      <c r="B316" s="18" t="str">
        <f>IF(A316="","",A316/Inputs!$C$4)</f>
        <v/>
      </c>
      <c r="C316" s="18" t="str">
        <f>IF(A316="","",(Inputs!$C$3*Inputs!$C$2)/Inputs!$C$4)</f>
        <v/>
      </c>
      <c r="D316" s="18" t="str">
        <f>IF(A316 = MAX($A$2:A1000), Inputs!$C$2, "")</f>
        <v/>
      </c>
      <c r="E316" s="18" t="str">
        <f t="shared" si="1"/>
        <v/>
      </c>
    </row>
    <row r="317">
      <c r="B317" s="18" t="str">
        <f>IF(A317="","",A317/Inputs!$C$4)</f>
        <v/>
      </c>
      <c r="C317" s="18" t="str">
        <f>IF(A317="","",(Inputs!$C$3*Inputs!$C$2)/Inputs!$C$4)</f>
        <v/>
      </c>
      <c r="D317" s="18" t="str">
        <f>IF(A317 = MAX($A$2:A1000), Inputs!$C$2, "")</f>
        <v/>
      </c>
      <c r="E317" s="18" t="str">
        <f t="shared" si="1"/>
        <v/>
      </c>
    </row>
    <row r="318">
      <c r="B318" s="18" t="str">
        <f>IF(A318="","",A318/Inputs!$C$4)</f>
        <v/>
      </c>
      <c r="C318" s="18" t="str">
        <f>IF(A318="","",(Inputs!$C$3*Inputs!$C$2)/Inputs!$C$4)</f>
        <v/>
      </c>
      <c r="D318" s="18" t="str">
        <f>IF(A318 = MAX($A$2:A1000), Inputs!$C$2, "")</f>
        <v/>
      </c>
      <c r="E318" s="18" t="str">
        <f t="shared" si="1"/>
        <v/>
      </c>
    </row>
    <row r="319">
      <c r="B319" s="18" t="str">
        <f>IF(A319="","",A319/Inputs!$C$4)</f>
        <v/>
      </c>
      <c r="C319" s="18" t="str">
        <f>IF(A319="","",(Inputs!$C$3*Inputs!$C$2)/Inputs!$C$4)</f>
        <v/>
      </c>
      <c r="D319" s="18" t="str">
        <f>IF(A319 = MAX($A$2:A1000), Inputs!$C$2, "")</f>
        <v/>
      </c>
      <c r="E319" s="18" t="str">
        <f t="shared" si="1"/>
        <v/>
      </c>
    </row>
    <row r="320">
      <c r="B320" s="18" t="str">
        <f>IF(A320="","",A320/Inputs!$C$4)</f>
        <v/>
      </c>
      <c r="C320" s="18" t="str">
        <f>IF(A320="","",(Inputs!$C$3*Inputs!$C$2)/Inputs!$C$4)</f>
        <v/>
      </c>
      <c r="D320" s="18" t="str">
        <f>IF(A320 = MAX($A$2:A1000), Inputs!$C$2, "")</f>
        <v/>
      </c>
      <c r="E320" s="18" t="str">
        <f t="shared" si="1"/>
        <v/>
      </c>
    </row>
    <row r="321">
      <c r="B321" s="18" t="str">
        <f>IF(A321="","",A321/Inputs!$C$4)</f>
        <v/>
      </c>
      <c r="C321" s="18" t="str">
        <f>IF(A321="","",(Inputs!$C$3*Inputs!$C$2)/Inputs!$C$4)</f>
        <v/>
      </c>
      <c r="D321" s="18" t="str">
        <f>IF(A321 = MAX($A$2:A1000), Inputs!$C$2, "")</f>
        <v/>
      </c>
      <c r="E321" s="18" t="str">
        <f t="shared" si="1"/>
        <v/>
      </c>
    </row>
    <row r="322">
      <c r="B322" s="18" t="str">
        <f>IF(A322="","",A322/Inputs!$C$4)</f>
        <v/>
      </c>
      <c r="C322" s="18" t="str">
        <f>IF(A322="","",(Inputs!$C$3*Inputs!$C$2)/Inputs!$C$4)</f>
        <v/>
      </c>
      <c r="D322" s="18" t="str">
        <f>IF(A322 = MAX($A$2:A1000), Inputs!$C$2, "")</f>
        <v/>
      </c>
      <c r="E322" s="18" t="str">
        <f t="shared" si="1"/>
        <v/>
      </c>
    </row>
    <row r="323">
      <c r="B323" s="18" t="str">
        <f>IF(A323="","",A323/Inputs!$C$4)</f>
        <v/>
      </c>
      <c r="C323" s="18" t="str">
        <f>IF(A323="","",(Inputs!$C$3*Inputs!$C$2)/Inputs!$C$4)</f>
        <v/>
      </c>
      <c r="D323" s="18" t="str">
        <f>IF(A323 = MAX($A$2:A1000), Inputs!$C$2, "")</f>
        <v/>
      </c>
      <c r="E323" s="18" t="str">
        <f t="shared" si="1"/>
        <v/>
      </c>
    </row>
    <row r="324">
      <c r="B324" s="18" t="str">
        <f>IF(A324="","",A324/Inputs!$C$4)</f>
        <v/>
      </c>
      <c r="C324" s="18" t="str">
        <f>IF(A324="","",(Inputs!$C$3*Inputs!$C$2)/Inputs!$C$4)</f>
        <v/>
      </c>
      <c r="D324" s="18" t="str">
        <f>IF(A324 = MAX($A$2:A1000), Inputs!$C$2, "")</f>
        <v/>
      </c>
      <c r="E324" s="18" t="str">
        <f t="shared" si="1"/>
        <v/>
      </c>
    </row>
    <row r="325">
      <c r="B325" s="18" t="str">
        <f>IF(A325="","",A325/Inputs!$C$4)</f>
        <v/>
      </c>
      <c r="C325" s="18" t="str">
        <f>IF(A325="","",(Inputs!$C$3*Inputs!$C$2)/Inputs!$C$4)</f>
        <v/>
      </c>
      <c r="D325" s="18" t="str">
        <f>IF(A325 = MAX($A$2:A1000), Inputs!$C$2, "")</f>
        <v/>
      </c>
      <c r="E325" s="18" t="str">
        <f t="shared" si="1"/>
        <v/>
      </c>
    </row>
    <row r="326">
      <c r="B326" s="18" t="str">
        <f>IF(A326="","",A326/Inputs!$C$4)</f>
        <v/>
      </c>
      <c r="C326" s="18" t="str">
        <f>IF(A326="","",(Inputs!$C$3*Inputs!$C$2)/Inputs!$C$4)</f>
        <v/>
      </c>
      <c r="D326" s="18" t="str">
        <f>IF(A326 = MAX($A$2:A1000), Inputs!$C$2, "")</f>
        <v/>
      </c>
      <c r="E326" s="18" t="str">
        <f t="shared" si="1"/>
        <v/>
      </c>
    </row>
    <row r="327">
      <c r="B327" s="18" t="str">
        <f>IF(A327="","",A327/Inputs!$C$4)</f>
        <v/>
      </c>
      <c r="C327" s="18" t="str">
        <f>IF(A327="","",(Inputs!$C$3*Inputs!$C$2)/Inputs!$C$4)</f>
        <v/>
      </c>
      <c r="D327" s="18" t="str">
        <f>IF(A327 = MAX($A$2:A1000), Inputs!$C$2, "")</f>
        <v/>
      </c>
      <c r="E327" s="18" t="str">
        <f t="shared" si="1"/>
        <v/>
      </c>
    </row>
    <row r="328">
      <c r="B328" s="18" t="str">
        <f>IF(A328="","",A328/Inputs!$C$4)</f>
        <v/>
      </c>
      <c r="C328" s="18" t="str">
        <f>IF(A328="","",(Inputs!$C$3*Inputs!$C$2)/Inputs!$C$4)</f>
        <v/>
      </c>
      <c r="D328" s="18" t="str">
        <f>IF(A328 = MAX($A$2:A1000), Inputs!$C$2, "")</f>
        <v/>
      </c>
      <c r="E328" s="18" t="str">
        <f t="shared" si="1"/>
        <v/>
      </c>
    </row>
    <row r="329">
      <c r="B329" s="18" t="str">
        <f>IF(A329="","",A329/Inputs!$C$4)</f>
        <v/>
      </c>
      <c r="C329" s="18" t="str">
        <f>IF(A329="","",(Inputs!$C$3*Inputs!$C$2)/Inputs!$C$4)</f>
        <v/>
      </c>
      <c r="D329" s="18" t="str">
        <f>IF(A329 = MAX($A$2:A1000), Inputs!$C$2, "")</f>
        <v/>
      </c>
      <c r="E329" s="18" t="str">
        <f t="shared" si="1"/>
        <v/>
      </c>
    </row>
    <row r="330">
      <c r="B330" s="18" t="str">
        <f>IF(A330="","",A330/Inputs!$C$4)</f>
        <v/>
      </c>
      <c r="C330" s="18" t="str">
        <f>IF(A330="","",(Inputs!$C$3*Inputs!$C$2)/Inputs!$C$4)</f>
        <v/>
      </c>
      <c r="D330" s="18" t="str">
        <f>IF(A330 = MAX($A$2:A1000), Inputs!$C$2, "")</f>
        <v/>
      </c>
      <c r="E330" s="18" t="str">
        <f t="shared" si="1"/>
        <v/>
      </c>
    </row>
    <row r="331">
      <c r="B331" s="18" t="str">
        <f>IF(A331="","",A331/Inputs!$C$4)</f>
        <v/>
      </c>
      <c r="C331" s="18" t="str">
        <f>IF(A331="","",(Inputs!$C$3*Inputs!$C$2)/Inputs!$C$4)</f>
        <v/>
      </c>
      <c r="D331" s="18" t="str">
        <f>IF(A331 = MAX($A$2:A1000), Inputs!$C$2, "")</f>
        <v/>
      </c>
      <c r="E331" s="18" t="str">
        <f t="shared" si="1"/>
        <v/>
      </c>
    </row>
    <row r="332">
      <c r="B332" s="18" t="str">
        <f>IF(A332="","",A332/Inputs!$C$4)</f>
        <v/>
      </c>
      <c r="C332" s="18" t="str">
        <f>IF(A332="","",(Inputs!$C$3*Inputs!$C$2)/Inputs!$C$4)</f>
        <v/>
      </c>
      <c r="D332" s="18" t="str">
        <f>IF(A332 = MAX($A$2:A1000), Inputs!$C$2, "")</f>
        <v/>
      </c>
      <c r="E332" s="18" t="str">
        <f t="shared" si="1"/>
        <v/>
      </c>
    </row>
    <row r="333">
      <c r="B333" s="18" t="str">
        <f>IF(A333="","",A333/Inputs!$C$4)</f>
        <v/>
      </c>
      <c r="C333" s="18" t="str">
        <f>IF(A333="","",(Inputs!$C$3*Inputs!$C$2)/Inputs!$C$4)</f>
        <v/>
      </c>
      <c r="D333" s="18" t="str">
        <f>IF(A333 = MAX($A$2:A1000), Inputs!$C$2, "")</f>
        <v/>
      </c>
      <c r="E333" s="18" t="str">
        <f t="shared" si="1"/>
        <v/>
      </c>
    </row>
    <row r="334">
      <c r="B334" s="18" t="str">
        <f>IF(A334="","",A334/Inputs!$C$4)</f>
        <v/>
      </c>
      <c r="C334" s="18" t="str">
        <f>IF(A334="","",(Inputs!$C$3*Inputs!$C$2)/Inputs!$C$4)</f>
        <v/>
      </c>
      <c r="D334" s="18" t="str">
        <f>IF(A334 = MAX($A$2:A1000), Inputs!$C$2, "")</f>
        <v/>
      </c>
      <c r="E334" s="18" t="str">
        <f t="shared" si="1"/>
        <v/>
      </c>
    </row>
    <row r="335">
      <c r="B335" s="18" t="str">
        <f>IF(A335="","",A335/Inputs!$C$4)</f>
        <v/>
      </c>
      <c r="C335" s="18" t="str">
        <f>IF(A335="","",(Inputs!$C$3*Inputs!$C$2)/Inputs!$C$4)</f>
        <v/>
      </c>
      <c r="D335" s="18" t="str">
        <f>IF(A335 = MAX($A$2:A1000), Inputs!$C$2, "")</f>
        <v/>
      </c>
      <c r="E335" s="18" t="str">
        <f t="shared" si="1"/>
        <v/>
      </c>
    </row>
    <row r="336">
      <c r="B336" s="18" t="str">
        <f>IF(A336="","",A336/Inputs!$C$4)</f>
        <v/>
      </c>
      <c r="C336" s="18" t="str">
        <f>IF(A336="","",(Inputs!$C$3*Inputs!$C$2)/Inputs!$C$4)</f>
        <v/>
      </c>
      <c r="D336" s="18" t="str">
        <f>IF(A336 = MAX($A$2:A1000), Inputs!$C$2, "")</f>
        <v/>
      </c>
      <c r="E336" s="18" t="str">
        <f t="shared" si="1"/>
        <v/>
      </c>
    </row>
    <row r="337">
      <c r="B337" s="18" t="str">
        <f>IF(A337="","",A337/Inputs!$C$4)</f>
        <v/>
      </c>
      <c r="C337" s="18" t="str">
        <f>IF(A337="","",(Inputs!$C$3*Inputs!$C$2)/Inputs!$C$4)</f>
        <v/>
      </c>
      <c r="D337" s="18" t="str">
        <f>IF(A337 = MAX($A$2:A1000), Inputs!$C$2, "")</f>
        <v/>
      </c>
      <c r="E337" s="18" t="str">
        <f t="shared" si="1"/>
        <v/>
      </c>
    </row>
    <row r="338">
      <c r="B338" s="18" t="str">
        <f>IF(A338="","",A338/Inputs!$C$4)</f>
        <v/>
      </c>
      <c r="C338" s="18" t="str">
        <f>IF(A338="","",(Inputs!$C$3*Inputs!$C$2)/Inputs!$C$4)</f>
        <v/>
      </c>
      <c r="D338" s="18" t="str">
        <f>IF(A338 = MAX($A$2:A1000), Inputs!$C$2, "")</f>
        <v/>
      </c>
      <c r="E338" s="18" t="str">
        <f t="shared" si="1"/>
        <v/>
      </c>
    </row>
    <row r="339">
      <c r="B339" s="18" t="str">
        <f>IF(A339="","",A339/Inputs!$C$4)</f>
        <v/>
      </c>
      <c r="C339" s="18" t="str">
        <f>IF(A339="","",(Inputs!$C$3*Inputs!$C$2)/Inputs!$C$4)</f>
        <v/>
      </c>
      <c r="D339" s="18" t="str">
        <f>IF(A339 = MAX($A$2:A1000), Inputs!$C$2, "")</f>
        <v/>
      </c>
      <c r="E339" s="18" t="str">
        <f t="shared" si="1"/>
        <v/>
      </c>
    </row>
    <row r="340">
      <c r="B340" s="18" t="str">
        <f>IF(A340="","",A340/Inputs!$C$4)</f>
        <v/>
      </c>
      <c r="C340" s="18" t="str">
        <f>IF(A340="","",(Inputs!$C$3*Inputs!$C$2)/Inputs!$C$4)</f>
        <v/>
      </c>
      <c r="D340" s="18" t="str">
        <f>IF(A340 = MAX($A$2:A1000), Inputs!$C$2, "")</f>
        <v/>
      </c>
      <c r="E340" s="18" t="str">
        <f t="shared" si="1"/>
        <v/>
      </c>
    </row>
    <row r="341">
      <c r="B341" s="18" t="str">
        <f>IF(A341="","",A341/Inputs!$C$4)</f>
        <v/>
      </c>
      <c r="C341" s="18" t="str">
        <f>IF(A341="","",(Inputs!$C$3*Inputs!$C$2)/Inputs!$C$4)</f>
        <v/>
      </c>
      <c r="D341" s="18" t="str">
        <f>IF(A341 = MAX($A$2:A1000), Inputs!$C$2, "")</f>
        <v/>
      </c>
      <c r="E341" s="18" t="str">
        <f t="shared" si="1"/>
        <v/>
      </c>
    </row>
    <row r="342">
      <c r="B342" s="18" t="str">
        <f>IF(A342="","",A342/Inputs!$C$4)</f>
        <v/>
      </c>
      <c r="C342" s="18" t="str">
        <f>IF(A342="","",(Inputs!$C$3*Inputs!$C$2)/Inputs!$C$4)</f>
        <v/>
      </c>
      <c r="D342" s="18" t="str">
        <f>IF(A342 = MAX($A$2:A1000), Inputs!$C$2, "")</f>
        <v/>
      </c>
      <c r="E342" s="18" t="str">
        <f t="shared" si="1"/>
        <v/>
      </c>
    </row>
    <row r="343">
      <c r="B343" s="18" t="str">
        <f>IF(A343="","",A343/Inputs!$C$4)</f>
        <v/>
      </c>
      <c r="C343" s="18" t="str">
        <f>IF(A343="","",(Inputs!$C$3*Inputs!$C$2)/Inputs!$C$4)</f>
        <v/>
      </c>
      <c r="D343" s="18" t="str">
        <f>IF(A343 = MAX($A$2:A1000), Inputs!$C$2, "")</f>
        <v/>
      </c>
      <c r="E343" s="18" t="str">
        <f t="shared" si="1"/>
        <v/>
      </c>
    </row>
    <row r="344">
      <c r="B344" s="18" t="str">
        <f>IF(A344="","",A344/Inputs!$C$4)</f>
        <v/>
      </c>
      <c r="C344" s="18" t="str">
        <f>IF(A344="","",(Inputs!$C$3*Inputs!$C$2)/Inputs!$C$4)</f>
        <v/>
      </c>
      <c r="D344" s="18" t="str">
        <f>IF(A344 = MAX($A$2:A1000), Inputs!$C$2, "")</f>
        <v/>
      </c>
      <c r="E344" s="18" t="str">
        <f t="shared" si="1"/>
        <v/>
      </c>
    </row>
    <row r="345">
      <c r="B345" s="18" t="str">
        <f>IF(A345="","",A345/Inputs!$C$4)</f>
        <v/>
      </c>
      <c r="C345" s="18" t="str">
        <f>IF(A345="","",(Inputs!$C$3*Inputs!$C$2)/Inputs!$C$4)</f>
        <v/>
      </c>
      <c r="D345" s="18" t="str">
        <f>IF(A345 = MAX($A$2:A1000), Inputs!$C$2, "")</f>
        <v/>
      </c>
      <c r="E345" s="18" t="str">
        <f t="shared" si="1"/>
        <v/>
      </c>
    </row>
    <row r="346">
      <c r="B346" s="18" t="str">
        <f>IF(A346="","",A346/Inputs!$C$4)</f>
        <v/>
      </c>
      <c r="C346" s="18" t="str">
        <f>IF(A346="","",(Inputs!$C$3*Inputs!$C$2)/Inputs!$C$4)</f>
        <v/>
      </c>
      <c r="D346" s="18" t="str">
        <f>IF(A346 = MAX($A$2:A1000), Inputs!$C$2, "")</f>
        <v/>
      </c>
      <c r="E346" s="18" t="str">
        <f t="shared" si="1"/>
        <v/>
      </c>
    </row>
    <row r="347">
      <c r="B347" s="18" t="str">
        <f>IF(A347="","",A347/Inputs!$C$4)</f>
        <v/>
      </c>
      <c r="C347" s="18" t="str">
        <f>IF(A347="","",(Inputs!$C$3*Inputs!$C$2)/Inputs!$C$4)</f>
        <v/>
      </c>
      <c r="D347" s="18" t="str">
        <f>IF(A347 = MAX($A$2:A1000), Inputs!$C$2, "")</f>
        <v/>
      </c>
      <c r="E347" s="18" t="str">
        <f t="shared" si="1"/>
        <v/>
      </c>
    </row>
    <row r="348">
      <c r="B348" s="18" t="str">
        <f>IF(A348="","",A348/Inputs!$C$4)</f>
        <v/>
      </c>
      <c r="C348" s="18" t="str">
        <f>IF(A348="","",(Inputs!$C$3*Inputs!$C$2)/Inputs!$C$4)</f>
        <v/>
      </c>
      <c r="D348" s="18" t="str">
        <f>IF(A348 = MAX($A$2:A1000), Inputs!$C$2, "")</f>
        <v/>
      </c>
      <c r="E348" s="18" t="str">
        <f t="shared" si="1"/>
        <v/>
      </c>
    </row>
    <row r="349">
      <c r="B349" s="18" t="str">
        <f>IF(A349="","",A349/Inputs!$C$4)</f>
        <v/>
      </c>
      <c r="C349" s="18" t="str">
        <f>IF(A349="","",(Inputs!$C$3*Inputs!$C$2)/Inputs!$C$4)</f>
        <v/>
      </c>
      <c r="D349" s="18" t="str">
        <f>IF(A349 = MAX($A$2:A1000), Inputs!$C$2, "")</f>
        <v/>
      </c>
      <c r="E349" s="18" t="str">
        <f t="shared" si="1"/>
        <v/>
      </c>
    </row>
    <row r="350">
      <c r="B350" s="18" t="str">
        <f>IF(A350="","",A350/Inputs!$C$4)</f>
        <v/>
      </c>
      <c r="C350" s="18" t="str">
        <f>IF(A350="","",(Inputs!$C$3*Inputs!$C$2)/Inputs!$C$4)</f>
        <v/>
      </c>
      <c r="D350" s="18" t="str">
        <f>IF(A350 = MAX($A$2:A1000), Inputs!$C$2, "")</f>
        <v/>
      </c>
      <c r="E350" s="18" t="str">
        <f t="shared" si="1"/>
        <v/>
      </c>
    </row>
    <row r="351">
      <c r="B351" s="18" t="str">
        <f>IF(A351="","",A351/Inputs!$C$4)</f>
        <v/>
      </c>
      <c r="C351" s="18" t="str">
        <f>IF(A351="","",(Inputs!$C$3*Inputs!$C$2)/Inputs!$C$4)</f>
        <v/>
      </c>
      <c r="D351" s="18" t="str">
        <f>IF(A351 = MAX($A$2:A1000), Inputs!$C$2, "")</f>
        <v/>
      </c>
      <c r="E351" s="18" t="str">
        <f t="shared" si="1"/>
        <v/>
      </c>
    </row>
    <row r="352">
      <c r="B352" s="18" t="str">
        <f>IF(A352="","",A352/Inputs!$C$4)</f>
        <v/>
      </c>
      <c r="C352" s="18" t="str">
        <f>IF(A352="","",(Inputs!$C$3*Inputs!$C$2)/Inputs!$C$4)</f>
        <v/>
      </c>
      <c r="D352" s="18" t="str">
        <f>IF(A352 = MAX($A$2:A1000), Inputs!$C$2, "")</f>
        <v/>
      </c>
      <c r="E352" s="18" t="str">
        <f t="shared" si="1"/>
        <v/>
      </c>
    </row>
    <row r="353">
      <c r="B353" s="18" t="str">
        <f>IF(A353="","",A353/Inputs!$C$4)</f>
        <v/>
      </c>
      <c r="C353" s="18" t="str">
        <f>IF(A353="","",(Inputs!$C$3*Inputs!$C$2)/Inputs!$C$4)</f>
        <v/>
      </c>
      <c r="D353" s="18" t="str">
        <f>IF(A353 = MAX($A$2:A1000), Inputs!$C$2, "")</f>
        <v/>
      </c>
      <c r="E353" s="18" t="str">
        <f t="shared" si="1"/>
        <v/>
      </c>
    </row>
    <row r="354">
      <c r="B354" s="18" t="str">
        <f>IF(A354="","",A354/Inputs!$C$4)</f>
        <v/>
      </c>
      <c r="C354" s="18" t="str">
        <f>IF(A354="","",(Inputs!$C$3*Inputs!$C$2)/Inputs!$C$4)</f>
        <v/>
      </c>
      <c r="D354" s="18" t="str">
        <f>IF(A354 = MAX($A$2:A1000), Inputs!$C$2, "")</f>
        <v/>
      </c>
      <c r="E354" s="18" t="str">
        <f t="shared" si="1"/>
        <v/>
      </c>
    </row>
    <row r="355">
      <c r="B355" s="18" t="str">
        <f>IF(A355="","",A355/Inputs!$C$4)</f>
        <v/>
      </c>
      <c r="C355" s="18" t="str">
        <f>IF(A355="","",(Inputs!$C$3*Inputs!$C$2)/Inputs!$C$4)</f>
        <v/>
      </c>
      <c r="D355" s="18" t="str">
        <f>IF(A355 = MAX($A$2:A1000), Inputs!$C$2, "")</f>
        <v/>
      </c>
      <c r="E355" s="18" t="str">
        <f t="shared" si="1"/>
        <v/>
      </c>
    </row>
    <row r="356">
      <c r="B356" s="18" t="str">
        <f>IF(A356="","",A356/Inputs!$C$4)</f>
        <v/>
      </c>
      <c r="C356" s="18" t="str">
        <f>IF(A356="","",(Inputs!$C$3*Inputs!$C$2)/Inputs!$C$4)</f>
        <v/>
      </c>
      <c r="D356" s="18" t="str">
        <f>IF(A356 = MAX($A$2:A1000), Inputs!$C$2, "")</f>
        <v/>
      </c>
      <c r="E356" s="18" t="str">
        <f t="shared" si="1"/>
        <v/>
      </c>
    </row>
    <row r="357">
      <c r="B357" s="18" t="str">
        <f>IF(A357="","",A357/Inputs!$C$4)</f>
        <v/>
      </c>
      <c r="C357" s="18" t="str">
        <f>IF(A357="","",(Inputs!$C$3*Inputs!$C$2)/Inputs!$C$4)</f>
        <v/>
      </c>
      <c r="D357" s="18" t="str">
        <f>IF(A357 = MAX($A$2:A1000), Inputs!$C$2, "")</f>
        <v/>
      </c>
      <c r="E357" s="18" t="str">
        <f t="shared" si="1"/>
        <v/>
      </c>
    </row>
    <row r="358">
      <c r="B358" s="18" t="str">
        <f>IF(A358="","",A358/Inputs!$C$4)</f>
        <v/>
      </c>
      <c r="C358" s="18" t="str">
        <f>IF(A358="","",(Inputs!$C$3*Inputs!$C$2)/Inputs!$C$4)</f>
        <v/>
      </c>
      <c r="D358" s="18" t="str">
        <f>IF(A358 = MAX($A$2:A1000), Inputs!$C$2, "")</f>
        <v/>
      </c>
      <c r="E358" s="18" t="str">
        <f t="shared" si="1"/>
        <v/>
      </c>
    </row>
    <row r="359">
      <c r="B359" s="18" t="str">
        <f>IF(A359="","",A359/Inputs!$C$4)</f>
        <v/>
      </c>
      <c r="C359" s="18" t="str">
        <f>IF(A359="","",(Inputs!$C$3*Inputs!$C$2)/Inputs!$C$4)</f>
        <v/>
      </c>
      <c r="D359" s="18" t="str">
        <f>IF(A359 = MAX($A$2:A1000), Inputs!$C$2, "")</f>
        <v/>
      </c>
      <c r="E359" s="18" t="str">
        <f t="shared" si="1"/>
        <v/>
      </c>
    </row>
    <row r="360">
      <c r="B360" s="18" t="str">
        <f>IF(A360="","",A360/Inputs!$C$4)</f>
        <v/>
      </c>
      <c r="C360" s="18" t="str">
        <f>IF(A360="","",(Inputs!$C$3*Inputs!$C$2)/Inputs!$C$4)</f>
        <v/>
      </c>
      <c r="D360" s="18" t="str">
        <f>IF(A360 = MAX($A$2:A1000), Inputs!$C$2, "")</f>
        <v/>
      </c>
      <c r="E360" s="18" t="str">
        <f t="shared" si="1"/>
        <v/>
      </c>
    </row>
    <row r="361">
      <c r="B361" s="18" t="str">
        <f>IF(A361="","",A361/Inputs!$C$4)</f>
        <v/>
      </c>
      <c r="C361" s="18" t="str">
        <f>IF(A361="","",(Inputs!$C$3*Inputs!$C$2)/Inputs!$C$4)</f>
        <v/>
      </c>
      <c r="D361" s="18" t="str">
        <f>IF(A361 = MAX($A$2:A1000), Inputs!$C$2, "")</f>
        <v/>
      </c>
      <c r="E361" s="18" t="str">
        <f t="shared" si="1"/>
        <v/>
      </c>
    </row>
    <row r="362">
      <c r="B362" s="18" t="str">
        <f>IF(A362="","",A362/Inputs!$C$4)</f>
        <v/>
      </c>
      <c r="C362" s="18" t="str">
        <f>IF(A362="","",(Inputs!$C$3*Inputs!$C$2)/Inputs!$C$4)</f>
        <v/>
      </c>
      <c r="D362" s="18" t="str">
        <f>IF(A362 = MAX($A$2:A1000), Inputs!$C$2, "")</f>
        <v/>
      </c>
      <c r="E362" s="18" t="str">
        <f t="shared" si="1"/>
        <v/>
      </c>
    </row>
    <row r="363">
      <c r="B363" s="18" t="str">
        <f>IF(A363="","",A363/Inputs!$C$4)</f>
        <v/>
      </c>
      <c r="C363" s="18" t="str">
        <f>IF(A363="","",(Inputs!$C$3*Inputs!$C$2)/Inputs!$C$4)</f>
        <v/>
      </c>
      <c r="D363" s="18" t="str">
        <f>IF(A363 = MAX($A$2:A1000), Inputs!$C$2, "")</f>
        <v/>
      </c>
      <c r="E363" s="18" t="str">
        <f t="shared" si="1"/>
        <v/>
      </c>
    </row>
    <row r="364">
      <c r="B364" s="18" t="str">
        <f>IF(A364="","",A364/Inputs!$C$4)</f>
        <v/>
      </c>
      <c r="C364" s="18" t="str">
        <f>IF(A364="","",(Inputs!$C$3*Inputs!$C$2)/Inputs!$C$4)</f>
        <v/>
      </c>
      <c r="D364" s="18" t="str">
        <f>IF(A364 = MAX($A$2:A1000), Inputs!$C$2, "")</f>
        <v/>
      </c>
      <c r="E364" s="18" t="str">
        <f t="shared" si="1"/>
        <v/>
      </c>
    </row>
    <row r="365">
      <c r="B365" s="18" t="str">
        <f>IF(A365="","",A365/Inputs!$C$4)</f>
        <v/>
      </c>
      <c r="C365" s="18" t="str">
        <f>IF(A365="","",(Inputs!$C$3*Inputs!$C$2)/Inputs!$C$4)</f>
        <v/>
      </c>
      <c r="D365" s="18" t="str">
        <f>IF(A365 = MAX($A$2:A1000), Inputs!$C$2, "")</f>
        <v/>
      </c>
      <c r="E365" s="18" t="str">
        <f t="shared" si="1"/>
        <v/>
      </c>
    </row>
    <row r="366">
      <c r="B366" s="18" t="str">
        <f>IF(A366="","",A366/Inputs!$C$4)</f>
        <v/>
      </c>
      <c r="C366" s="18" t="str">
        <f>IF(A366="","",(Inputs!$C$3*Inputs!$C$2)/Inputs!$C$4)</f>
        <v/>
      </c>
      <c r="D366" s="18" t="str">
        <f>IF(A366 = MAX($A$2:A1000), Inputs!$C$2, "")</f>
        <v/>
      </c>
      <c r="E366" s="18" t="str">
        <f t="shared" si="1"/>
        <v/>
      </c>
    </row>
    <row r="367">
      <c r="B367" s="18" t="str">
        <f>IF(A367="","",A367/Inputs!$C$4)</f>
        <v/>
      </c>
      <c r="C367" s="18" t="str">
        <f>IF(A367="","",(Inputs!$C$3*Inputs!$C$2)/Inputs!$C$4)</f>
        <v/>
      </c>
      <c r="D367" s="18" t="str">
        <f>IF(A367 = MAX($A$2:A1000), Inputs!$C$2, "")</f>
        <v/>
      </c>
      <c r="E367" s="18" t="str">
        <f t="shared" si="1"/>
        <v/>
      </c>
    </row>
    <row r="368">
      <c r="B368" s="18" t="str">
        <f>IF(A368="","",A368/Inputs!$C$4)</f>
        <v/>
      </c>
      <c r="C368" s="18" t="str">
        <f>IF(A368="","",(Inputs!$C$3*Inputs!$C$2)/Inputs!$C$4)</f>
        <v/>
      </c>
      <c r="D368" s="18" t="str">
        <f>IF(A368 = MAX($A$2:A1000), Inputs!$C$2, "")</f>
        <v/>
      </c>
      <c r="E368" s="18" t="str">
        <f t="shared" si="1"/>
        <v/>
      </c>
    </row>
    <row r="369">
      <c r="B369" s="18" t="str">
        <f>IF(A369="","",A369/Inputs!$C$4)</f>
        <v/>
      </c>
      <c r="C369" s="18" t="str">
        <f>IF(A369="","",(Inputs!$C$3*Inputs!$C$2)/Inputs!$C$4)</f>
        <v/>
      </c>
      <c r="D369" s="18" t="str">
        <f>IF(A369 = MAX($A$2:A1000), Inputs!$C$2, "")</f>
        <v/>
      </c>
      <c r="E369" s="18" t="str">
        <f t="shared" si="1"/>
        <v/>
      </c>
    </row>
    <row r="370">
      <c r="B370" s="18" t="str">
        <f>IF(A370="","",A370/Inputs!$C$4)</f>
        <v/>
      </c>
      <c r="C370" s="18" t="str">
        <f>IF(A370="","",(Inputs!$C$3*Inputs!$C$2)/Inputs!$C$4)</f>
        <v/>
      </c>
      <c r="D370" s="18" t="str">
        <f>IF(A370 = MAX($A$2:A1000), Inputs!$C$2, "")</f>
        <v/>
      </c>
      <c r="E370" s="18" t="str">
        <f t="shared" si="1"/>
        <v/>
      </c>
    </row>
    <row r="371">
      <c r="B371" s="18" t="str">
        <f>IF(A371="","",A371/Inputs!$C$4)</f>
        <v/>
      </c>
      <c r="C371" s="18" t="str">
        <f>IF(A371="","",(Inputs!$C$3*Inputs!$C$2)/Inputs!$C$4)</f>
        <v/>
      </c>
      <c r="D371" s="18" t="str">
        <f>IF(A371 = MAX($A$2:A1000), Inputs!$C$2, "")</f>
        <v/>
      </c>
      <c r="E371" s="18" t="str">
        <f t="shared" si="1"/>
        <v/>
      </c>
    </row>
    <row r="372">
      <c r="B372" s="18" t="str">
        <f>IF(A372="","",A372/Inputs!$C$4)</f>
        <v/>
      </c>
      <c r="C372" s="18" t="str">
        <f>IF(A372="","",(Inputs!$C$3*Inputs!$C$2)/Inputs!$C$4)</f>
        <v/>
      </c>
      <c r="D372" s="18" t="str">
        <f>IF(A372 = MAX($A$2:A1000), Inputs!$C$2, "")</f>
        <v/>
      </c>
      <c r="E372" s="18" t="str">
        <f t="shared" si="1"/>
        <v/>
      </c>
    </row>
    <row r="373">
      <c r="B373" s="18" t="str">
        <f>IF(A373="","",A373/Inputs!$C$4)</f>
        <v/>
      </c>
      <c r="C373" s="18" t="str">
        <f>IF(A373="","",(Inputs!$C$3*Inputs!$C$2)/Inputs!$C$4)</f>
        <v/>
      </c>
      <c r="D373" s="18" t="str">
        <f>IF(A373 = MAX($A$2:A1000), Inputs!$C$2, "")</f>
        <v/>
      </c>
      <c r="E373" s="18" t="str">
        <f t="shared" si="1"/>
        <v/>
      </c>
    </row>
    <row r="374">
      <c r="B374" s="18" t="str">
        <f>IF(A374="","",A374/Inputs!$C$4)</f>
        <v/>
      </c>
      <c r="C374" s="18" t="str">
        <f>IF(A374="","",(Inputs!$C$3*Inputs!$C$2)/Inputs!$C$4)</f>
        <v/>
      </c>
      <c r="D374" s="18" t="str">
        <f>IF(A374 = MAX($A$2:A1000), Inputs!$C$2, "")</f>
        <v/>
      </c>
      <c r="E374" s="18" t="str">
        <f t="shared" si="1"/>
        <v/>
      </c>
    </row>
    <row r="375">
      <c r="B375" s="18" t="str">
        <f>IF(A375="","",A375/Inputs!$C$4)</f>
        <v/>
      </c>
      <c r="C375" s="18" t="str">
        <f>IF(A375="","",(Inputs!$C$3*Inputs!$C$2)/Inputs!$C$4)</f>
        <v/>
      </c>
      <c r="D375" s="18" t="str">
        <f>IF(A375 = MAX($A$2:A1000), Inputs!$C$2, "")</f>
        <v/>
      </c>
      <c r="E375" s="18" t="str">
        <f t="shared" si="1"/>
        <v/>
      </c>
    </row>
    <row r="376">
      <c r="B376" s="18" t="str">
        <f>IF(A376="","",A376/Inputs!$C$4)</f>
        <v/>
      </c>
      <c r="C376" s="18" t="str">
        <f>IF(A376="","",(Inputs!$C$3*Inputs!$C$2)/Inputs!$C$4)</f>
        <v/>
      </c>
      <c r="D376" s="18" t="str">
        <f>IF(A376 = MAX($A$2:A1000), Inputs!$C$2, "")</f>
        <v/>
      </c>
      <c r="E376" s="18" t="str">
        <f t="shared" si="1"/>
        <v/>
      </c>
    </row>
    <row r="377">
      <c r="B377" s="18" t="str">
        <f>IF(A377="","",A377/Inputs!$C$4)</f>
        <v/>
      </c>
      <c r="C377" s="18" t="str">
        <f>IF(A377="","",(Inputs!$C$3*Inputs!$C$2)/Inputs!$C$4)</f>
        <v/>
      </c>
      <c r="D377" s="18" t="str">
        <f>IF(A377 = MAX($A$2:A1000), Inputs!$C$2, "")</f>
        <v/>
      </c>
      <c r="E377" s="18" t="str">
        <f t="shared" si="1"/>
        <v/>
      </c>
    </row>
    <row r="378">
      <c r="B378" s="18" t="str">
        <f>IF(A378="","",A378/Inputs!$C$4)</f>
        <v/>
      </c>
      <c r="C378" s="18" t="str">
        <f>IF(A378="","",(Inputs!$C$3*Inputs!$C$2)/Inputs!$C$4)</f>
        <v/>
      </c>
      <c r="D378" s="18" t="str">
        <f>IF(A378 = MAX($A$2:A1000), Inputs!$C$2, "")</f>
        <v/>
      </c>
      <c r="E378" s="18" t="str">
        <f t="shared" si="1"/>
        <v/>
      </c>
    </row>
    <row r="379">
      <c r="B379" s="18" t="str">
        <f>IF(A379="","",A379/Inputs!$C$4)</f>
        <v/>
      </c>
      <c r="C379" s="18" t="str">
        <f>IF(A379="","",(Inputs!$C$3*Inputs!$C$2)/Inputs!$C$4)</f>
        <v/>
      </c>
      <c r="D379" s="18" t="str">
        <f>IF(A379 = MAX($A$2:A1000), Inputs!$C$2, "")</f>
        <v/>
      </c>
      <c r="E379" s="18" t="str">
        <f t="shared" si="1"/>
        <v/>
      </c>
    </row>
    <row r="380">
      <c r="B380" s="18" t="str">
        <f>IF(A380="","",A380/Inputs!$C$4)</f>
        <v/>
      </c>
      <c r="C380" s="18" t="str">
        <f>IF(A380="","",(Inputs!$C$3*Inputs!$C$2)/Inputs!$C$4)</f>
        <v/>
      </c>
      <c r="D380" s="18" t="str">
        <f>IF(A380 = MAX($A$2:A1000), Inputs!$C$2, "")</f>
        <v/>
      </c>
      <c r="E380" s="18" t="str">
        <f t="shared" si="1"/>
        <v/>
      </c>
    </row>
    <row r="381">
      <c r="B381" s="18" t="str">
        <f>IF(A381="","",A381/Inputs!$C$4)</f>
        <v/>
      </c>
      <c r="C381" s="18" t="str">
        <f>IF(A381="","",(Inputs!$C$3*Inputs!$C$2)/Inputs!$C$4)</f>
        <v/>
      </c>
      <c r="D381" s="18" t="str">
        <f>IF(A381 = MAX($A$2:A1000), Inputs!$C$2, "")</f>
        <v/>
      </c>
      <c r="E381" s="18" t="str">
        <f t="shared" si="1"/>
        <v/>
      </c>
    </row>
    <row r="382">
      <c r="B382" s="18" t="str">
        <f>IF(A382="","",A382/Inputs!$C$4)</f>
        <v/>
      </c>
      <c r="C382" s="18" t="str">
        <f>IF(A382="","",(Inputs!$C$3*Inputs!$C$2)/Inputs!$C$4)</f>
        <v/>
      </c>
      <c r="D382" s="18" t="str">
        <f>IF(A382 = MAX($A$2:A1000), Inputs!$C$2, "")</f>
        <v/>
      </c>
      <c r="E382" s="18" t="str">
        <f t="shared" si="1"/>
        <v/>
      </c>
    </row>
    <row r="383">
      <c r="B383" s="18" t="str">
        <f>IF(A383="","",A383/Inputs!$C$4)</f>
        <v/>
      </c>
      <c r="C383" s="18" t="str">
        <f>IF(A383="","",(Inputs!$C$3*Inputs!$C$2)/Inputs!$C$4)</f>
        <v/>
      </c>
      <c r="D383" s="18" t="str">
        <f>IF(A383 = MAX($A$2:A1000), Inputs!$C$2, "")</f>
        <v/>
      </c>
      <c r="E383" s="18" t="str">
        <f t="shared" si="1"/>
        <v/>
      </c>
    </row>
    <row r="384">
      <c r="B384" s="18" t="str">
        <f>IF(A384="","",A384/Inputs!$C$4)</f>
        <v/>
      </c>
      <c r="C384" s="18" t="str">
        <f>IF(A384="","",(Inputs!$C$3*Inputs!$C$2)/Inputs!$C$4)</f>
        <v/>
      </c>
      <c r="D384" s="18" t="str">
        <f>IF(A384 = MAX($A$2:A1000), Inputs!$C$2, "")</f>
        <v/>
      </c>
      <c r="E384" s="18" t="str">
        <f t="shared" si="1"/>
        <v/>
      </c>
    </row>
    <row r="385">
      <c r="B385" s="18" t="str">
        <f>IF(A385="","",A385/Inputs!$C$4)</f>
        <v/>
      </c>
      <c r="C385" s="18" t="str">
        <f>IF(A385="","",(Inputs!$C$3*Inputs!$C$2)/Inputs!$C$4)</f>
        <v/>
      </c>
      <c r="D385" s="18" t="str">
        <f>IF(A385 = MAX($A$2:A1000), Inputs!$C$2, "")</f>
        <v/>
      </c>
      <c r="E385" s="18" t="str">
        <f t="shared" si="1"/>
        <v/>
      </c>
    </row>
    <row r="386">
      <c r="B386" s="18" t="str">
        <f>IF(A386="","",A386/Inputs!$C$4)</f>
        <v/>
      </c>
      <c r="C386" s="18" t="str">
        <f>IF(A386="","",(Inputs!$C$3*Inputs!$C$2)/Inputs!$C$4)</f>
        <v/>
      </c>
      <c r="D386" s="18" t="str">
        <f>IF(A386 = MAX($A$2:A1000), Inputs!$C$2, "")</f>
        <v/>
      </c>
      <c r="E386" s="18" t="str">
        <f t="shared" si="1"/>
        <v/>
      </c>
    </row>
    <row r="387">
      <c r="B387" s="18" t="str">
        <f>IF(A387="","",A387/Inputs!$C$4)</f>
        <v/>
      </c>
      <c r="C387" s="18" t="str">
        <f>IF(A387="","",(Inputs!$C$3*Inputs!$C$2)/Inputs!$C$4)</f>
        <v/>
      </c>
      <c r="D387" s="18" t="str">
        <f>IF(A387 = MAX($A$2:A1000), Inputs!$C$2, "")</f>
        <v/>
      </c>
      <c r="E387" s="18" t="str">
        <f t="shared" si="1"/>
        <v/>
      </c>
    </row>
    <row r="388">
      <c r="B388" s="18" t="str">
        <f>IF(A388="","",A388/Inputs!$C$4)</f>
        <v/>
      </c>
      <c r="C388" s="18" t="str">
        <f>IF(A388="","",(Inputs!$C$3*Inputs!$C$2)/Inputs!$C$4)</f>
        <v/>
      </c>
      <c r="D388" s="18" t="str">
        <f>IF(A388 = MAX($A$2:A1000), Inputs!$C$2, "")</f>
        <v/>
      </c>
      <c r="E388" s="18" t="str">
        <f t="shared" si="1"/>
        <v/>
      </c>
    </row>
    <row r="389">
      <c r="B389" s="18" t="str">
        <f>IF(A389="","",A389/Inputs!$C$4)</f>
        <v/>
      </c>
      <c r="C389" s="18" t="str">
        <f>IF(A389="","",(Inputs!$C$3*Inputs!$C$2)/Inputs!$C$4)</f>
        <v/>
      </c>
      <c r="D389" s="18" t="str">
        <f>IF(A389 = MAX($A$2:A1000), Inputs!$C$2, "")</f>
        <v/>
      </c>
      <c r="E389" s="18" t="str">
        <f t="shared" si="1"/>
        <v/>
      </c>
    </row>
    <row r="390">
      <c r="B390" s="18" t="str">
        <f>IF(A390="","",A390/Inputs!$C$4)</f>
        <v/>
      </c>
      <c r="C390" s="18" t="str">
        <f>IF(A390="","",(Inputs!$C$3*Inputs!$C$2)/Inputs!$C$4)</f>
        <v/>
      </c>
      <c r="D390" s="18" t="str">
        <f>IF(A390 = MAX($A$2:A1000), Inputs!$C$2, "")</f>
        <v/>
      </c>
      <c r="E390" s="18" t="str">
        <f t="shared" si="1"/>
        <v/>
      </c>
    </row>
    <row r="391">
      <c r="B391" s="18" t="str">
        <f>IF(A391="","",A391/Inputs!$C$4)</f>
        <v/>
      </c>
      <c r="C391" s="18" t="str">
        <f>IF(A391="","",(Inputs!$C$3*Inputs!$C$2)/Inputs!$C$4)</f>
        <v/>
      </c>
      <c r="D391" s="18" t="str">
        <f>IF(A391 = MAX($A$2:A1000), Inputs!$C$2, "")</f>
        <v/>
      </c>
      <c r="E391" s="18" t="str">
        <f t="shared" si="1"/>
        <v/>
      </c>
    </row>
    <row r="392">
      <c r="B392" s="18" t="str">
        <f>IF(A392="","",A392/Inputs!$C$4)</f>
        <v/>
      </c>
      <c r="C392" s="18" t="str">
        <f>IF(A392="","",(Inputs!$C$3*Inputs!$C$2)/Inputs!$C$4)</f>
        <v/>
      </c>
      <c r="D392" s="18" t="str">
        <f>IF(A392 = MAX($A$2:A1000), Inputs!$C$2, "")</f>
        <v/>
      </c>
      <c r="E392" s="18" t="str">
        <f t="shared" si="1"/>
        <v/>
      </c>
    </row>
    <row r="393">
      <c r="B393" s="18" t="str">
        <f>IF(A393="","",A393/Inputs!$C$4)</f>
        <v/>
      </c>
      <c r="C393" s="18" t="str">
        <f>IF(A393="","",(Inputs!$C$3*Inputs!$C$2)/Inputs!$C$4)</f>
        <v/>
      </c>
      <c r="D393" s="18" t="str">
        <f>IF(A393 = MAX($A$2:A1000), Inputs!$C$2, "")</f>
        <v/>
      </c>
      <c r="E393" s="18" t="str">
        <f t="shared" si="1"/>
        <v/>
      </c>
    </row>
    <row r="394">
      <c r="B394" s="18" t="str">
        <f>IF(A394="","",A394/Inputs!$C$4)</f>
        <v/>
      </c>
      <c r="C394" s="18" t="str">
        <f>IF(A394="","",(Inputs!$C$3*Inputs!$C$2)/Inputs!$C$4)</f>
        <v/>
      </c>
      <c r="D394" s="18" t="str">
        <f>IF(A394 = MAX($A$2:A1000), Inputs!$C$2, "")</f>
        <v/>
      </c>
      <c r="E394" s="18" t="str">
        <f t="shared" si="1"/>
        <v/>
      </c>
    </row>
    <row r="395">
      <c r="B395" s="18" t="str">
        <f>IF(A395="","",A395/Inputs!$C$4)</f>
        <v/>
      </c>
      <c r="C395" s="18" t="str">
        <f>IF(A395="","",(Inputs!$C$3*Inputs!$C$2)/Inputs!$C$4)</f>
        <v/>
      </c>
      <c r="D395" s="18" t="str">
        <f>IF(A395 = MAX($A$2:A1000), Inputs!$C$2, "")</f>
        <v/>
      </c>
      <c r="E395" s="18" t="str">
        <f t="shared" si="1"/>
        <v/>
      </c>
    </row>
    <row r="396">
      <c r="B396" s="18" t="str">
        <f>IF(A396="","",A396/Inputs!$C$4)</f>
        <v/>
      </c>
      <c r="C396" s="18" t="str">
        <f>IF(A396="","",(Inputs!$C$3*Inputs!$C$2)/Inputs!$C$4)</f>
        <v/>
      </c>
      <c r="D396" s="18" t="str">
        <f>IF(A396 = MAX($A$2:A1000), Inputs!$C$2, "")</f>
        <v/>
      </c>
      <c r="E396" s="18" t="str">
        <f t="shared" si="1"/>
        <v/>
      </c>
    </row>
    <row r="397">
      <c r="B397" s="18" t="str">
        <f>IF(A397="","",A397/Inputs!$C$4)</f>
        <v/>
      </c>
      <c r="C397" s="18" t="str">
        <f>IF(A397="","",(Inputs!$C$3*Inputs!$C$2)/Inputs!$C$4)</f>
        <v/>
      </c>
      <c r="D397" s="18" t="str">
        <f>IF(A397 = MAX($A$2:A1000), Inputs!$C$2, "")</f>
        <v/>
      </c>
      <c r="E397" s="18" t="str">
        <f t="shared" si="1"/>
        <v/>
      </c>
    </row>
    <row r="398">
      <c r="B398" s="18" t="str">
        <f>IF(A398="","",A398/Inputs!$C$4)</f>
        <v/>
      </c>
      <c r="C398" s="18" t="str">
        <f>IF(A398="","",(Inputs!$C$3*Inputs!$C$2)/Inputs!$C$4)</f>
        <v/>
      </c>
      <c r="D398" s="18" t="str">
        <f>IF(A398 = MAX($A$2:A1000), Inputs!$C$2, "")</f>
        <v/>
      </c>
      <c r="E398" s="18" t="str">
        <f t="shared" si="1"/>
        <v/>
      </c>
    </row>
    <row r="399">
      <c r="B399" s="18" t="str">
        <f>IF(A399="","",A399/Inputs!$C$4)</f>
        <v/>
      </c>
      <c r="C399" s="18" t="str">
        <f>IF(A399="","",(Inputs!$C$3*Inputs!$C$2)/Inputs!$C$4)</f>
        <v/>
      </c>
      <c r="D399" s="18" t="str">
        <f>IF(A399 = MAX($A$2:A1000), Inputs!$C$2, "")</f>
        <v/>
      </c>
      <c r="E399" s="18" t="str">
        <f t="shared" si="1"/>
        <v/>
      </c>
    </row>
    <row r="400">
      <c r="B400" s="18" t="str">
        <f>IF(A400="","",A400/Inputs!$C$4)</f>
        <v/>
      </c>
      <c r="C400" s="18" t="str">
        <f>IF(A400="","",(Inputs!$C$3*Inputs!$C$2)/Inputs!$C$4)</f>
        <v/>
      </c>
      <c r="D400" s="18" t="str">
        <f>IF(A400 = MAX($A$2:A1000), Inputs!$C$2, "")</f>
        <v/>
      </c>
      <c r="E400" s="18" t="str">
        <f t="shared" si="1"/>
        <v/>
      </c>
    </row>
    <row r="401">
      <c r="B401" s="18" t="str">
        <f>IF(A401="","",A401/Inputs!$C$4)</f>
        <v/>
      </c>
      <c r="C401" s="18" t="str">
        <f>IF(A401="","",(Inputs!$C$3*Inputs!$C$2)/Inputs!$C$4)</f>
        <v/>
      </c>
      <c r="D401" s="18" t="str">
        <f>IF(A401 = MAX($A$2:A1000), Inputs!$C$2, "")</f>
        <v/>
      </c>
      <c r="E401" s="18" t="str">
        <f t="shared" si="1"/>
        <v/>
      </c>
    </row>
    <row r="402">
      <c r="B402" s="18" t="str">
        <f>IF(A402="","",A402/Inputs!$C$4)</f>
        <v/>
      </c>
      <c r="C402" s="18" t="str">
        <f>IF(A402="","",(Inputs!$C$3*Inputs!$C$2)/Inputs!$C$4)</f>
        <v/>
      </c>
      <c r="D402" s="18" t="str">
        <f>IF(A402 = MAX($A$2:A1000), Inputs!$C$2, "")</f>
        <v/>
      </c>
      <c r="E402" s="18" t="str">
        <f t="shared" si="1"/>
        <v/>
      </c>
    </row>
    <row r="403">
      <c r="B403" s="18" t="str">
        <f>IF(A403="","",A403/Inputs!$C$4)</f>
        <v/>
      </c>
      <c r="C403" s="18" t="str">
        <f>IF(A403="","",(Inputs!$C$3*Inputs!$C$2)/Inputs!$C$4)</f>
        <v/>
      </c>
      <c r="D403" s="18" t="str">
        <f>IF(A403 = MAX($A$2:A1000), Inputs!$C$2, "")</f>
        <v/>
      </c>
      <c r="E403" s="18" t="str">
        <f t="shared" si="1"/>
        <v/>
      </c>
    </row>
    <row r="404">
      <c r="B404" s="18" t="str">
        <f>IF(A404="","",A404/Inputs!$C$4)</f>
        <v/>
      </c>
      <c r="C404" s="18" t="str">
        <f>IF(A404="","",(Inputs!$C$3*Inputs!$C$2)/Inputs!$C$4)</f>
        <v/>
      </c>
      <c r="D404" s="18" t="str">
        <f>IF(A404 = MAX($A$2:A1000), Inputs!$C$2, "")</f>
        <v/>
      </c>
      <c r="E404" s="18" t="str">
        <f t="shared" si="1"/>
        <v/>
      </c>
    </row>
    <row r="405">
      <c r="B405" s="18" t="str">
        <f>IF(A405="","",A405/Inputs!$C$4)</f>
        <v/>
      </c>
      <c r="C405" s="18" t="str">
        <f>IF(A405="","",(Inputs!$C$3*Inputs!$C$2)/Inputs!$C$4)</f>
        <v/>
      </c>
      <c r="D405" s="18" t="str">
        <f>IF(A405 = MAX($A$2:A1000), Inputs!$C$2, "")</f>
        <v/>
      </c>
      <c r="E405" s="18" t="str">
        <f t="shared" si="1"/>
        <v/>
      </c>
    </row>
    <row r="406">
      <c r="B406" s="18" t="str">
        <f>IF(A406="","",A406/Inputs!$C$4)</f>
        <v/>
      </c>
      <c r="C406" s="18" t="str">
        <f>IF(A406="","",(Inputs!$C$3*Inputs!$C$2)/Inputs!$C$4)</f>
        <v/>
      </c>
      <c r="D406" s="18" t="str">
        <f>IF(A406 = MAX($A$2:A1000), Inputs!$C$2, "")</f>
        <v/>
      </c>
      <c r="E406" s="18" t="str">
        <f t="shared" si="1"/>
        <v/>
      </c>
    </row>
    <row r="407">
      <c r="B407" s="18" t="str">
        <f>IF(A407="","",A407/Inputs!$C$4)</f>
        <v/>
      </c>
      <c r="C407" s="18" t="str">
        <f>IF(A407="","",(Inputs!$C$3*Inputs!$C$2)/Inputs!$C$4)</f>
        <v/>
      </c>
      <c r="D407" s="18" t="str">
        <f>IF(A407 = MAX($A$2:A1000), Inputs!$C$2, "")</f>
        <v/>
      </c>
      <c r="E407" s="18" t="str">
        <f t="shared" si="1"/>
        <v/>
      </c>
    </row>
    <row r="408">
      <c r="B408" s="18" t="str">
        <f>IF(A408="","",A408/Inputs!$C$4)</f>
        <v/>
      </c>
      <c r="C408" s="18" t="str">
        <f>IF(A408="","",(Inputs!$C$3*Inputs!$C$2)/Inputs!$C$4)</f>
        <v/>
      </c>
      <c r="D408" s="18" t="str">
        <f>IF(A408 = MAX($A$2:A1000), Inputs!$C$2, "")</f>
        <v/>
      </c>
      <c r="E408" s="18" t="str">
        <f t="shared" si="1"/>
        <v/>
      </c>
    </row>
    <row r="409">
      <c r="B409" s="18" t="str">
        <f>IF(A409="","",A409/Inputs!$C$4)</f>
        <v/>
      </c>
      <c r="C409" s="18" t="str">
        <f>IF(A409="","",(Inputs!$C$3*Inputs!$C$2)/Inputs!$C$4)</f>
        <v/>
      </c>
      <c r="D409" s="18" t="str">
        <f>IF(A409 = MAX($A$2:A1000), Inputs!$C$2, "")</f>
        <v/>
      </c>
      <c r="E409" s="18" t="str">
        <f t="shared" si="1"/>
        <v/>
      </c>
    </row>
    <row r="410">
      <c r="B410" s="18" t="str">
        <f>IF(A410="","",A410/Inputs!$C$4)</f>
        <v/>
      </c>
      <c r="C410" s="18" t="str">
        <f>IF(A410="","",(Inputs!$C$3*Inputs!$C$2)/Inputs!$C$4)</f>
        <v/>
      </c>
      <c r="D410" s="18" t="str">
        <f>IF(A410 = MAX($A$2:A1000), Inputs!$C$2, "")</f>
        <v/>
      </c>
      <c r="E410" s="18" t="str">
        <f t="shared" si="1"/>
        <v/>
      </c>
    </row>
    <row r="411">
      <c r="B411" s="18" t="str">
        <f>IF(A411="","",A411/Inputs!$C$4)</f>
        <v/>
      </c>
      <c r="C411" s="18" t="str">
        <f>IF(A411="","",(Inputs!$C$3*Inputs!$C$2)/Inputs!$C$4)</f>
        <v/>
      </c>
      <c r="D411" s="18" t="str">
        <f>IF(A411 = MAX($A$2:A1000), Inputs!$C$2, "")</f>
        <v/>
      </c>
      <c r="E411" s="18" t="str">
        <f t="shared" si="1"/>
        <v/>
      </c>
    </row>
    <row r="412">
      <c r="B412" s="18" t="str">
        <f>IF(A412="","",A412/Inputs!$C$4)</f>
        <v/>
      </c>
      <c r="C412" s="18" t="str">
        <f>IF(A412="","",(Inputs!$C$3*Inputs!$C$2)/Inputs!$C$4)</f>
        <v/>
      </c>
      <c r="D412" s="18" t="str">
        <f>IF(A412 = MAX($A$2:A1000), Inputs!$C$2, "")</f>
        <v/>
      </c>
      <c r="E412" s="18" t="str">
        <f t="shared" si="1"/>
        <v/>
      </c>
    </row>
    <row r="413">
      <c r="B413" s="18" t="str">
        <f>IF(A413="","",A413/Inputs!$C$4)</f>
        <v/>
      </c>
      <c r="C413" s="18" t="str">
        <f>IF(A413="","",(Inputs!$C$3*Inputs!$C$2)/Inputs!$C$4)</f>
        <v/>
      </c>
      <c r="D413" s="18" t="str">
        <f>IF(A413 = MAX($A$2:A1000), Inputs!$C$2, "")</f>
        <v/>
      </c>
      <c r="E413" s="18" t="str">
        <f t="shared" si="1"/>
        <v/>
      </c>
    </row>
    <row r="414">
      <c r="B414" s="18" t="str">
        <f>IF(A414="","",A414/Inputs!$C$4)</f>
        <v/>
      </c>
      <c r="C414" s="18" t="str">
        <f>IF(A414="","",(Inputs!$C$3*Inputs!$C$2)/Inputs!$C$4)</f>
        <v/>
      </c>
      <c r="D414" s="18" t="str">
        <f>IF(A414 = MAX($A$2:A1000), Inputs!$C$2, "")</f>
        <v/>
      </c>
      <c r="E414" s="18" t="str">
        <f t="shared" si="1"/>
        <v/>
      </c>
    </row>
    <row r="415">
      <c r="B415" s="18" t="str">
        <f>IF(A415="","",A415/Inputs!$C$4)</f>
        <v/>
      </c>
      <c r="C415" s="18" t="str">
        <f>IF(A415="","",(Inputs!$C$3*Inputs!$C$2)/Inputs!$C$4)</f>
        <v/>
      </c>
      <c r="D415" s="18" t="str">
        <f>IF(A415 = MAX($A$2:A1000), Inputs!$C$2, "")</f>
        <v/>
      </c>
      <c r="E415" s="18" t="str">
        <f t="shared" si="1"/>
        <v/>
      </c>
    </row>
    <row r="416">
      <c r="B416" s="18" t="str">
        <f>IF(A416="","",A416/Inputs!$C$4)</f>
        <v/>
      </c>
      <c r="C416" s="18" t="str">
        <f>IF(A416="","",(Inputs!$C$3*Inputs!$C$2)/Inputs!$C$4)</f>
        <v/>
      </c>
      <c r="D416" s="18" t="str">
        <f>IF(A416 = MAX($A$2:A1000), Inputs!$C$2, "")</f>
        <v/>
      </c>
      <c r="E416" s="18" t="str">
        <f t="shared" si="1"/>
        <v/>
      </c>
    </row>
    <row r="417">
      <c r="B417" s="18" t="str">
        <f>IF(A417="","",A417/Inputs!$C$4)</f>
        <v/>
      </c>
      <c r="C417" s="18" t="str">
        <f>IF(A417="","",(Inputs!$C$3*Inputs!$C$2)/Inputs!$C$4)</f>
        <v/>
      </c>
      <c r="D417" s="18" t="str">
        <f>IF(A417 = MAX($A$2:A1000), Inputs!$C$2, "")</f>
        <v/>
      </c>
      <c r="E417" s="18" t="str">
        <f t="shared" si="1"/>
        <v/>
      </c>
    </row>
    <row r="418">
      <c r="B418" s="18" t="str">
        <f>IF(A418="","",A418/Inputs!$C$4)</f>
        <v/>
      </c>
      <c r="C418" s="18" t="str">
        <f>IF(A418="","",(Inputs!$C$3*Inputs!$C$2)/Inputs!$C$4)</f>
        <v/>
      </c>
      <c r="D418" s="18" t="str">
        <f>IF(A418 = MAX($A$2:A1000), Inputs!$C$2, "")</f>
        <v/>
      </c>
      <c r="E418" s="18" t="str">
        <f t="shared" si="1"/>
        <v/>
      </c>
    </row>
    <row r="419">
      <c r="B419" s="18" t="str">
        <f>IF(A419="","",A419/Inputs!$C$4)</f>
        <v/>
      </c>
      <c r="C419" s="18" t="str">
        <f>IF(A419="","",(Inputs!$C$3*Inputs!$C$2)/Inputs!$C$4)</f>
        <v/>
      </c>
      <c r="D419" s="18" t="str">
        <f>IF(A419 = MAX($A$2:A1000), Inputs!$C$2, "")</f>
        <v/>
      </c>
      <c r="E419" s="18" t="str">
        <f t="shared" si="1"/>
        <v/>
      </c>
    </row>
    <row r="420">
      <c r="B420" s="18" t="str">
        <f>IF(A420="","",A420/Inputs!$C$4)</f>
        <v/>
      </c>
      <c r="C420" s="18" t="str">
        <f>IF(A420="","",(Inputs!$C$3*Inputs!$C$2)/Inputs!$C$4)</f>
        <v/>
      </c>
      <c r="D420" s="18" t="str">
        <f>IF(A420 = MAX($A$2:A1000), Inputs!$C$2, "")</f>
        <v/>
      </c>
      <c r="E420" s="18" t="str">
        <f t="shared" si="1"/>
        <v/>
      </c>
    </row>
    <row r="421">
      <c r="B421" s="18" t="str">
        <f>IF(A421="","",A421/Inputs!$C$4)</f>
        <v/>
      </c>
      <c r="C421" s="18" t="str">
        <f>IF(A421="","",(Inputs!$C$3*Inputs!$C$2)/Inputs!$C$4)</f>
        <v/>
      </c>
      <c r="D421" s="18" t="str">
        <f>IF(A421 = MAX($A$2:A1000), Inputs!$C$2, "")</f>
        <v/>
      </c>
      <c r="E421" s="18" t="str">
        <f t="shared" si="1"/>
        <v/>
      </c>
    </row>
    <row r="422">
      <c r="B422" s="18" t="str">
        <f>IF(A422="","",A422/Inputs!$C$4)</f>
        <v/>
      </c>
      <c r="C422" s="18" t="str">
        <f>IF(A422="","",(Inputs!$C$3*Inputs!$C$2)/Inputs!$C$4)</f>
        <v/>
      </c>
      <c r="D422" s="18" t="str">
        <f>IF(A422 = MAX($A$2:A1000), Inputs!$C$2, "")</f>
        <v/>
      </c>
      <c r="E422" s="18" t="str">
        <f t="shared" si="1"/>
        <v/>
      </c>
    </row>
    <row r="423">
      <c r="B423" s="18" t="str">
        <f>IF(A423="","",A423/Inputs!$C$4)</f>
        <v/>
      </c>
      <c r="C423" s="18" t="str">
        <f>IF(A423="","",(Inputs!$C$3*Inputs!$C$2)/Inputs!$C$4)</f>
        <v/>
      </c>
      <c r="D423" s="18" t="str">
        <f>IF(A423 = MAX($A$2:A1000), Inputs!$C$2, "")</f>
        <v/>
      </c>
      <c r="E423" s="18" t="str">
        <f t="shared" si="1"/>
        <v/>
      </c>
    </row>
    <row r="424">
      <c r="B424" s="18" t="str">
        <f>IF(A424="","",A424/Inputs!$C$4)</f>
        <v/>
      </c>
      <c r="C424" s="18" t="str">
        <f>IF(A424="","",(Inputs!$C$3*Inputs!$C$2)/Inputs!$C$4)</f>
        <v/>
      </c>
      <c r="D424" s="18" t="str">
        <f>IF(A424 = MAX($A$2:A1000), Inputs!$C$2, "")</f>
        <v/>
      </c>
      <c r="E424" s="18" t="str">
        <f t="shared" si="1"/>
        <v/>
      </c>
    </row>
    <row r="425">
      <c r="B425" s="18" t="str">
        <f>IF(A425="","",A425/Inputs!$C$4)</f>
        <v/>
      </c>
      <c r="C425" s="18" t="str">
        <f>IF(A425="","",(Inputs!$C$3*Inputs!$C$2)/Inputs!$C$4)</f>
        <v/>
      </c>
      <c r="D425" s="18" t="str">
        <f>IF(A425 = MAX($A$2:A1000), Inputs!$C$2, "")</f>
        <v/>
      </c>
      <c r="E425" s="18" t="str">
        <f t="shared" si="1"/>
        <v/>
      </c>
    </row>
    <row r="426">
      <c r="B426" s="18" t="str">
        <f>IF(A426="","",A426/Inputs!$C$4)</f>
        <v/>
      </c>
      <c r="C426" s="18" t="str">
        <f>IF(A426="","",(Inputs!$C$3*Inputs!$C$2)/Inputs!$C$4)</f>
        <v/>
      </c>
      <c r="D426" s="18" t="str">
        <f>IF(A426 = MAX($A$2:A1000), Inputs!$C$2, "")</f>
        <v/>
      </c>
      <c r="E426" s="18" t="str">
        <f t="shared" si="1"/>
        <v/>
      </c>
    </row>
    <row r="427">
      <c r="B427" s="18" t="str">
        <f>IF(A427="","",A427/Inputs!$C$4)</f>
        <v/>
      </c>
      <c r="C427" s="18" t="str">
        <f>IF(A427="","",(Inputs!$C$3*Inputs!$C$2)/Inputs!$C$4)</f>
        <v/>
      </c>
      <c r="D427" s="18" t="str">
        <f>IF(A427 = MAX($A$2:A1000), Inputs!$C$2, "")</f>
        <v/>
      </c>
      <c r="E427" s="18" t="str">
        <f t="shared" si="1"/>
        <v/>
      </c>
    </row>
    <row r="428">
      <c r="B428" s="18" t="str">
        <f>IF(A428="","",A428/Inputs!$C$4)</f>
        <v/>
      </c>
      <c r="C428" s="18" t="str">
        <f>IF(A428="","",(Inputs!$C$3*Inputs!$C$2)/Inputs!$C$4)</f>
        <v/>
      </c>
      <c r="D428" s="18" t="str">
        <f>IF(A428 = MAX($A$2:A1000), Inputs!$C$2, "")</f>
        <v/>
      </c>
      <c r="E428" s="18" t="str">
        <f t="shared" si="1"/>
        <v/>
      </c>
    </row>
    <row r="429">
      <c r="B429" s="18" t="str">
        <f>IF(A429="","",A429/Inputs!$C$4)</f>
        <v/>
      </c>
      <c r="C429" s="18" t="str">
        <f>IF(A429="","",(Inputs!$C$3*Inputs!$C$2)/Inputs!$C$4)</f>
        <v/>
      </c>
      <c r="D429" s="18" t="str">
        <f>IF(A429 = MAX($A$2:A1000), Inputs!$C$2, "")</f>
        <v/>
      </c>
      <c r="E429" s="18" t="str">
        <f t="shared" si="1"/>
        <v/>
      </c>
    </row>
    <row r="430">
      <c r="B430" s="18" t="str">
        <f>IF(A430="","",A430/Inputs!$C$4)</f>
        <v/>
      </c>
      <c r="C430" s="18" t="str">
        <f>IF(A430="","",(Inputs!$C$3*Inputs!$C$2)/Inputs!$C$4)</f>
        <v/>
      </c>
      <c r="D430" s="18" t="str">
        <f>IF(A430 = MAX($A$2:A1000), Inputs!$C$2, "")</f>
        <v/>
      </c>
      <c r="E430" s="18" t="str">
        <f t="shared" si="1"/>
        <v/>
      </c>
    </row>
    <row r="431">
      <c r="B431" s="18" t="str">
        <f>IF(A431="","",A431/Inputs!$C$4)</f>
        <v/>
      </c>
      <c r="C431" s="18" t="str">
        <f>IF(A431="","",(Inputs!$C$3*Inputs!$C$2)/Inputs!$C$4)</f>
        <v/>
      </c>
      <c r="D431" s="18" t="str">
        <f>IF(A431 = MAX($A$2:A1000), Inputs!$C$2, "")</f>
        <v/>
      </c>
      <c r="E431" s="18" t="str">
        <f t="shared" si="1"/>
        <v/>
      </c>
    </row>
    <row r="432">
      <c r="B432" s="18" t="str">
        <f>IF(A432="","",A432/Inputs!$C$4)</f>
        <v/>
      </c>
      <c r="C432" s="18" t="str">
        <f>IF(A432="","",(Inputs!$C$3*Inputs!$C$2)/Inputs!$C$4)</f>
        <v/>
      </c>
      <c r="D432" s="18" t="str">
        <f>IF(A432 = MAX($A$2:A1000), Inputs!$C$2, "")</f>
        <v/>
      </c>
      <c r="E432" s="18" t="str">
        <f t="shared" si="1"/>
        <v/>
      </c>
    </row>
    <row r="433">
      <c r="B433" s="18" t="str">
        <f>IF(A433="","",A433/Inputs!$C$4)</f>
        <v/>
      </c>
      <c r="C433" s="18" t="str">
        <f>IF(A433="","",(Inputs!$C$3*Inputs!$C$2)/Inputs!$C$4)</f>
        <v/>
      </c>
      <c r="D433" s="18" t="str">
        <f>IF(A433 = MAX($A$2:A1000), Inputs!$C$2, "")</f>
        <v/>
      </c>
      <c r="E433" s="18" t="str">
        <f t="shared" si="1"/>
        <v/>
      </c>
    </row>
    <row r="434">
      <c r="B434" s="18" t="str">
        <f>IF(A434="","",A434/Inputs!$C$4)</f>
        <v/>
      </c>
      <c r="C434" s="18" t="str">
        <f>IF(A434="","",(Inputs!$C$3*Inputs!$C$2)/Inputs!$C$4)</f>
        <v/>
      </c>
      <c r="D434" s="18" t="str">
        <f>IF(A434 = MAX($A$2:A1000), Inputs!$C$2, "")</f>
        <v/>
      </c>
      <c r="E434" s="18" t="str">
        <f t="shared" si="1"/>
        <v/>
      </c>
    </row>
    <row r="435">
      <c r="B435" s="18" t="str">
        <f>IF(A435="","",A435/Inputs!$C$4)</f>
        <v/>
      </c>
      <c r="C435" s="18" t="str">
        <f>IF(A435="","",(Inputs!$C$3*Inputs!$C$2)/Inputs!$C$4)</f>
        <v/>
      </c>
      <c r="D435" s="18" t="str">
        <f>IF(A435 = MAX($A$2:A1000), Inputs!$C$2, "")</f>
        <v/>
      </c>
      <c r="E435" s="18" t="str">
        <f t="shared" si="1"/>
        <v/>
      </c>
    </row>
    <row r="436">
      <c r="B436" s="18" t="str">
        <f>IF(A436="","",A436/Inputs!$C$4)</f>
        <v/>
      </c>
      <c r="C436" s="18" t="str">
        <f>IF(A436="","",(Inputs!$C$3*Inputs!$C$2)/Inputs!$C$4)</f>
        <v/>
      </c>
      <c r="D436" s="18" t="str">
        <f>IF(A436 = MAX($A$2:A1000), Inputs!$C$2, "")</f>
        <v/>
      </c>
      <c r="E436" s="18" t="str">
        <f t="shared" si="1"/>
        <v/>
      </c>
    </row>
    <row r="437">
      <c r="B437" s="18" t="str">
        <f>IF(A437="","",A437/Inputs!$C$4)</f>
        <v/>
      </c>
      <c r="C437" s="18" t="str">
        <f>IF(A437="","",(Inputs!$C$3*Inputs!$C$2)/Inputs!$C$4)</f>
        <v/>
      </c>
      <c r="D437" s="18" t="str">
        <f>IF(A437 = MAX($A$2:A1000), Inputs!$C$2, "")</f>
        <v/>
      </c>
      <c r="E437" s="18" t="str">
        <f t="shared" si="1"/>
        <v/>
      </c>
    </row>
    <row r="438">
      <c r="B438" s="18" t="str">
        <f>IF(A438="","",A438/Inputs!$C$4)</f>
        <v/>
      </c>
      <c r="C438" s="18" t="str">
        <f>IF(A438="","",(Inputs!$C$3*Inputs!$C$2)/Inputs!$C$4)</f>
        <v/>
      </c>
      <c r="D438" s="18" t="str">
        <f>IF(A438 = MAX($A$2:A1000), Inputs!$C$2, "")</f>
        <v/>
      </c>
      <c r="E438" s="18" t="str">
        <f t="shared" si="1"/>
        <v/>
      </c>
    </row>
    <row r="439">
      <c r="B439" s="18" t="str">
        <f>IF(A439="","",A439/Inputs!$C$4)</f>
        <v/>
      </c>
      <c r="C439" s="18" t="str">
        <f>IF(A439="","",(Inputs!$C$3*Inputs!$C$2)/Inputs!$C$4)</f>
        <v/>
      </c>
      <c r="D439" s="18" t="str">
        <f>IF(A439 = MAX($A$2:A1000), Inputs!$C$2, "")</f>
        <v/>
      </c>
      <c r="E439" s="18" t="str">
        <f t="shared" si="1"/>
        <v/>
      </c>
    </row>
    <row r="440">
      <c r="B440" s="18" t="str">
        <f>IF(A440="","",A440/Inputs!$C$4)</f>
        <v/>
      </c>
      <c r="C440" s="18" t="str">
        <f>IF(A440="","",(Inputs!$C$3*Inputs!$C$2)/Inputs!$C$4)</f>
        <v/>
      </c>
      <c r="D440" s="18" t="str">
        <f>IF(A440 = MAX($A$2:A1000), Inputs!$C$2, "")</f>
        <v/>
      </c>
      <c r="E440" s="18" t="str">
        <f t="shared" si="1"/>
        <v/>
      </c>
    </row>
    <row r="441">
      <c r="B441" s="18" t="str">
        <f>IF(A441="","",A441/Inputs!$C$4)</f>
        <v/>
      </c>
      <c r="C441" s="18" t="str">
        <f>IF(A441="","",(Inputs!$C$3*Inputs!$C$2)/Inputs!$C$4)</f>
        <v/>
      </c>
      <c r="D441" s="18" t="str">
        <f>IF(A441 = MAX($A$2:A1000), Inputs!$C$2, "")</f>
        <v/>
      </c>
      <c r="E441" s="18" t="str">
        <f t="shared" si="1"/>
        <v/>
      </c>
    </row>
    <row r="442">
      <c r="B442" s="18" t="str">
        <f>IF(A442="","",A442/Inputs!$C$4)</f>
        <v/>
      </c>
      <c r="C442" s="18" t="str">
        <f>IF(A442="","",(Inputs!$C$3*Inputs!$C$2)/Inputs!$C$4)</f>
        <v/>
      </c>
      <c r="D442" s="18" t="str">
        <f>IF(A442 = MAX($A$2:A1000), Inputs!$C$2, "")</f>
        <v/>
      </c>
      <c r="E442" s="18" t="str">
        <f t="shared" si="1"/>
        <v/>
      </c>
    </row>
    <row r="443">
      <c r="B443" s="18" t="str">
        <f>IF(A443="","",A443/Inputs!$C$4)</f>
        <v/>
      </c>
      <c r="C443" s="18" t="str">
        <f>IF(A443="","",(Inputs!$C$3*Inputs!$C$2)/Inputs!$C$4)</f>
        <v/>
      </c>
      <c r="D443" s="18" t="str">
        <f>IF(A443 = MAX($A$2:A1000), Inputs!$C$2, "")</f>
        <v/>
      </c>
      <c r="E443" s="18" t="str">
        <f t="shared" si="1"/>
        <v/>
      </c>
    </row>
    <row r="444">
      <c r="B444" s="18" t="str">
        <f>IF(A444="","",A444/Inputs!$C$4)</f>
        <v/>
      </c>
      <c r="C444" s="18" t="str">
        <f>IF(A444="","",(Inputs!$C$3*Inputs!$C$2)/Inputs!$C$4)</f>
        <v/>
      </c>
      <c r="D444" s="18" t="str">
        <f>IF(A444 = MAX($A$2:A1000), Inputs!$C$2, "")</f>
        <v/>
      </c>
      <c r="E444" s="18" t="str">
        <f t="shared" si="1"/>
        <v/>
      </c>
    </row>
    <row r="445">
      <c r="B445" s="18" t="str">
        <f>IF(A445="","",A445/Inputs!$C$4)</f>
        <v/>
      </c>
      <c r="C445" s="18" t="str">
        <f>IF(A445="","",(Inputs!$C$3*Inputs!$C$2)/Inputs!$C$4)</f>
        <v/>
      </c>
      <c r="D445" s="18" t="str">
        <f>IF(A445 = MAX($A$2:A1000), Inputs!$C$2, "")</f>
        <v/>
      </c>
      <c r="E445" s="18" t="str">
        <f t="shared" si="1"/>
        <v/>
      </c>
    </row>
    <row r="446">
      <c r="B446" s="18" t="str">
        <f>IF(A446="","",A446/Inputs!$C$4)</f>
        <v/>
      </c>
      <c r="C446" s="18" t="str">
        <f>IF(A446="","",(Inputs!$C$3*Inputs!$C$2)/Inputs!$C$4)</f>
        <v/>
      </c>
      <c r="D446" s="18" t="str">
        <f>IF(A446 = MAX($A$2:A1000), Inputs!$C$2, "")</f>
        <v/>
      </c>
      <c r="E446" s="18" t="str">
        <f t="shared" si="1"/>
        <v/>
      </c>
    </row>
    <row r="447">
      <c r="B447" s="18" t="str">
        <f>IF(A447="","",A447/Inputs!$C$4)</f>
        <v/>
      </c>
      <c r="C447" s="18" t="str">
        <f>IF(A447="","",(Inputs!$C$3*Inputs!$C$2)/Inputs!$C$4)</f>
        <v/>
      </c>
      <c r="D447" s="18" t="str">
        <f>IF(A447 = MAX($A$2:A1000), Inputs!$C$2, "")</f>
        <v/>
      </c>
      <c r="E447" s="18" t="str">
        <f t="shared" si="1"/>
        <v/>
      </c>
    </row>
    <row r="448">
      <c r="B448" s="18" t="str">
        <f>IF(A448="","",A448/Inputs!$C$4)</f>
        <v/>
      </c>
      <c r="C448" s="18" t="str">
        <f>IF(A448="","",(Inputs!$C$3*Inputs!$C$2)/Inputs!$C$4)</f>
        <v/>
      </c>
      <c r="D448" s="18" t="str">
        <f>IF(A448 = MAX($A$2:A1000), Inputs!$C$2, "")</f>
        <v/>
      </c>
      <c r="E448" s="18" t="str">
        <f t="shared" si="1"/>
        <v/>
      </c>
    </row>
    <row r="449">
      <c r="B449" s="18" t="str">
        <f>IF(A449="","",A449/Inputs!$C$4)</f>
        <v/>
      </c>
      <c r="C449" s="18" t="str">
        <f>IF(A449="","",(Inputs!$C$3*Inputs!$C$2)/Inputs!$C$4)</f>
        <v/>
      </c>
      <c r="D449" s="18" t="str">
        <f>IF(A449 = MAX($A$2:A1000), Inputs!$C$2, "")</f>
        <v/>
      </c>
      <c r="E449" s="18" t="str">
        <f t="shared" si="1"/>
        <v/>
      </c>
    </row>
    <row r="450">
      <c r="B450" s="18" t="str">
        <f>IF(A450="","",A450/Inputs!$C$4)</f>
        <v/>
      </c>
      <c r="C450" s="18" t="str">
        <f>IF(A450="","",(Inputs!$C$3*Inputs!$C$2)/Inputs!$C$4)</f>
        <v/>
      </c>
      <c r="D450" s="18" t="str">
        <f>IF(A450 = MAX($A$2:A1000), Inputs!$C$2, "")</f>
        <v/>
      </c>
      <c r="E450" s="18" t="str">
        <f t="shared" si="1"/>
        <v/>
      </c>
    </row>
    <row r="451">
      <c r="B451" s="18" t="str">
        <f>IF(A451="","",A451/Inputs!$C$4)</f>
        <v/>
      </c>
      <c r="C451" s="18" t="str">
        <f>IF(A451="","",(Inputs!$C$3*Inputs!$C$2)/Inputs!$C$4)</f>
        <v/>
      </c>
      <c r="D451" s="18" t="str">
        <f>IF(A451 = MAX($A$2:A1000), Inputs!$C$2, "")</f>
        <v/>
      </c>
      <c r="E451" s="18" t="str">
        <f t="shared" si="1"/>
        <v/>
      </c>
    </row>
    <row r="452">
      <c r="B452" s="18" t="str">
        <f>IF(A452="","",A452/Inputs!$C$4)</f>
        <v/>
      </c>
      <c r="C452" s="18" t="str">
        <f>IF(A452="","",(Inputs!$C$3*Inputs!$C$2)/Inputs!$C$4)</f>
        <v/>
      </c>
      <c r="D452" s="18" t="str">
        <f>IF(A452 = MAX($A$2:A1000), Inputs!$C$2, "")</f>
        <v/>
      </c>
      <c r="E452" s="18" t="str">
        <f t="shared" si="1"/>
        <v/>
      </c>
    </row>
    <row r="453">
      <c r="B453" s="18" t="str">
        <f>IF(A453="","",A453/Inputs!$C$4)</f>
        <v/>
      </c>
      <c r="C453" s="18" t="str">
        <f>IF(A453="","",(Inputs!$C$3*Inputs!$C$2)/Inputs!$C$4)</f>
        <v/>
      </c>
      <c r="D453" s="18" t="str">
        <f>IF(A453 = MAX($A$2:A1000), Inputs!$C$2, "")</f>
        <v/>
      </c>
      <c r="E453" s="18" t="str">
        <f t="shared" si="1"/>
        <v/>
      </c>
    </row>
    <row r="454">
      <c r="B454" s="18" t="str">
        <f>IF(A454="","",A454/Inputs!$C$4)</f>
        <v/>
      </c>
      <c r="C454" s="18" t="str">
        <f>IF(A454="","",(Inputs!$C$3*Inputs!$C$2)/Inputs!$C$4)</f>
        <v/>
      </c>
      <c r="D454" s="18" t="str">
        <f>IF(A454 = MAX($A$2:A1000), Inputs!$C$2, "")</f>
        <v/>
      </c>
      <c r="E454" s="18" t="str">
        <f t="shared" si="1"/>
        <v/>
      </c>
    </row>
    <row r="455">
      <c r="B455" s="18" t="str">
        <f>IF(A455="","",A455/Inputs!$C$4)</f>
        <v/>
      </c>
      <c r="C455" s="18" t="str">
        <f>IF(A455="","",(Inputs!$C$3*Inputs!$C$2)/Inputs!$C$4)</f>
        <v/>
      </c>
      <c r="D455" s="18" t="str">
        <f>IF(A455 = MAX($A$2:A1000), Inputs!$C$2, "")</f>
        <v/>
      </c>
      <c r="E455" s="18" t="str">
        <f t="shared" si="1"/>
        <v/>
      </c>
    </row>
    <row r="456">
      <c r="B456" s="18" t="str">
        <f>IF(A456="","",A456/Inputs!$C$4)</f>
        <v/>
      </c>
      <c r="C456" s="18" t="str">
        <f>IF(A456="","",(Inputs!$C$3*Inputs!$C$2)/Inputs!$C$4)</f>
        <v/>
      </c>
      <c r="D456" s="18" t="str">
        <f>IF(A456 = MAX($A$2:A1000), Inputs!$C$2, "")</f>
        <v/>
      </c>
      <c r="E456" s="18" t="str">
        <f t="shared" si="1"/>
        <v/>
      </c>
    </row>
    <row r="457">
      <c r="B457" s="18" t="str">
        <f>IF(A457="","",A457/Inputs!$C$4)</f>
        <v/>
      </c>
      <c r="C457" s="18" t="str">
        <f>IF(A457="","",(Inputs!$C$3*Inputs!$C$2)/Inputs!$C$4)</f>
        <v/>
      </c>
      <c r="D457" s="18" t="str">
        <f>IF(A457 = MAX($A$2:A1000), Inputs!$C$2, "")</f>
        <v/>
      </c>
      <c r="E457" s="18" t="str">
        <f t="shared" si="1"/>
        <v/>
      </c>
    </row>
    <row r="458">
      <c r="B458" s="18" t="str">
        <f>IF(A458="","",A458/Inputs!$C$4)</f>
        <v/>
      </c>
      <c r="C458" s="18" t="str">
        <f>IF(A458="","",(Inputs!$C$3*Inputs!$C$2)/Inputs!$C$4)</f>
        <v/>
      </c>
      <c r="D458" s="18" t="str">
        <f>IF(A458 = MAX($A$2:A1000), Inputs!$C$2, "")</f>
        <v/>
      </c>
      <c r="E458" s="18" t="str">
        <f t="shared" si="1"/>
        <v/>
      </c>
    </row>
    <row r="459">
      <c r="B459" s="18" t="str">
        <f>IF(A459="","",A459/Inputs!$C$4)</f>
        <v/>
      </c>
      <c r="C459" s="18" t="str">
        <f>IF(A459="","",(Inputs!$C$3*Inputs!$C$2)/Inputs!$C$4)</f>
        <v/>
      </c>
      <c r="D459" s="18" t="str">
        <f>IF(A459 = MAX($A$2:A1000), Inputs!$C$2, "")</f>
        <v/>
      </c>
      <c r="E459" s="18" t="str">
        <f t="shared" si="1"/>
        <v/>
      </c>
    </row>
    <row r="460">
      <c r="B460" s="18" t="str">
        <f>IF(A460="","",A460/Inputs!$C$4)</f>
        <v/>
      </c>
      <c r="C460" s="18" t="str">
        <f>IF(A460="","",(Inputs!$C$3*Inputs!$C$2)/Inputs!$C$4)</f>
        <v/>
      </c>
      <c r="D460" s="18" t="str">
        <f>IF(A460 = MAX($A$2:A1000), Inputs!$C$2, "")</f>
        <v/>
      </c>
      <c r="E460" s="18" t="str">
        <f t="shared" si="1"/>
        <v/>
      </c>
    </row>
    <row r="461">
      <c r="B461" s="18" t="str">
        <f>IF(A461="","",A461/Inputs!$C$4)</f>
        <v/>
      </c>
      <c r="C461" s="18" t="str">
        <f>IF(A461="","",(Inputs!$C$3*Inputs!$C$2)/Inputs!$C$4)</f>
        <v/>
      </c>
      <c r="D461" s="18" t="str">
        <f>IF(A461 = MAX($A$2:A1000), Inputs!$C$2, "")</f>
        <v/>
      </c>
      <c r="E461" s="18" t="str">
        <f t="shared" si="1"/>
        <v/>
      </c>
    </row>
    <row r="462">
      <c r="B462" s="18" t="str">
        <f>IF(A462="","",A462/Inputs!$C$4)</f>
        <v/>
      </c>
      <c r="C462" s="18" t="str">
        <f>IF(A462="","",(Inputs!$C$3*Inputs!$C$2)/Inputs!$C$4)</f>
        <v/>
      </c>
      <c r="D462" s="18" t="str">
        <f>IF(A462 = MAX($A$2:A1000), Inputs!$C$2, "")</f>
        <v/>
      </c>
      <c r="E462" s="18" t="str">
        <f t="shared" si="1"/>
        <v/>
      </c>
    </row>
    <row r="463">
      <c r="B463" s="18" t="str">
        <f>IF(A463="","",A463/Inputs!$C$4)</f>
        <v/>
      </c>
      <c r="C463" s="18" t="str">
        <f>IF(A463="","",(Inputs!$C$3*Inputs!$C$2)/Inputs!$C$4)</f>
        <v/>
      </c>
      <c r="D463" s="18" t="str">
        <f>IF(A463 = MAX($A$2:A1000), Inputs!$C$2, "")</f>
        <v/>
      </c>
      <c r="E463" s="18" t="str">
        <f t="shared" si="1"/>
        <v/>
      </c>
    </row>
    <row r="464">
      <c r="B464" s="18" t="str">
        <f>IF(A464="","",A464/Inputs!$C$4)</f>
        <v/>
      </c>
      <c r="C464" s="18" t="str">
        <f>IF(A464="","",(Inputs!$C$3*Inputs!$C$2)/Inputs!$C$4)</f>
        <v/>
      </c>
      <c r="D464" s="18" t="str">
        <f>IF(A464 = MAX($A$2:A1000), Inputs!$C$2, "")</f>
        <v/>
      </c>
      <c r="E464" s="18" t="str">
        <f t="shared" si="1"/>
        <v/>
      </c>
    </row>
    <row r="465">
      <c r="B465" s="18" t="str">
        <f>IF(A465="","",A465/Inputs!$C$4)</f>
        <v/>
      </c>
      <c r="C465" s="18" t="str">
        <f>IF(A465="","",(Inputs!$C$3*Inputs!$C$2)/Inputs!$C$4)</f>
        <v/>
      </c>
      <c r="D465" s="18" t="str">
        <f>IF(A465 = MAX($A$2:A1000), Inputs!$C$2, "")</f>
        <v/>
      </c>
      <c r="E465" s="18" t="str">
        <f t="shared" si="1"/>
        <v/>
      </c>
    </row>
    <row r="466">
      <c r="B466" s="18" t="str">
        <f>IF(A466="","",A466/Inputs!$C$4)</f>
        <v/>
      </c>
      <c r="C466" s="18" t="str">
        <f>IF(A466="","",(Inputs!$C$3*Inputs!$C$2)/Inputs!$C$4)</f>
        <v/>
      </c>
      <c r="D466" s="18" t="str">
        <f>IF(A466 = MAX($A$2:A1000), Inputs!$C$2, "")</f>
        <v/>
      </c>
      <c r="E466" s="18" t="str">
        <f t="shared" si="1"/>
        <v/>
      </c>
    </row>
    <row r="467">
      <c r="B467" s="18" t="str">
        <f>IF(A467="","",A467/Inputs!$C$4)</f>
        <v/>
      </c>
      <c r="C467" s="18" t="str">
        <f>IF(A467="","",(Inputs!$C$3*Inputs!$C$2)/Inputs!$C$4)</f>
        <v/>
      </c>
      <c r="D467" s="18" t="str">
        <f>IF(A467 = MAX($A$2:A1000), Inputs!$C$2, "")</f>
        <v/>
      </c>
      <c r="E467" s="18" t="str">
        <f t="shared" si="1"/>
        <v/>
      </c>
    </row>
    <row r="468">
      <c r="B468" s="18" t="str">
        <f>IF(A468="","",A468/Inputs!$C$4)</f>
        <v/>
      </c>
      <c r="C468" s="18" t="str">
        <f>IF(A468="","",(Inputs!$C$3*Inputs!$C$2)/Inputs!$C$4)</f>
        <v/>
      </c>
      <c r="D468" s="18" t="str">
        <f>IF(A468 = MAX($A$2:A1000), Inputs!$C$2, "")</f>
        <v/>
      </c>
      <c r="E468" s="18" t="str">
        <f t="shared" si="1"/>
        <v/>
      </c>
    </row>
    <row r="469">
      <c r="B469" s="18" t="str">
        <f>IF(A469="","",A469/Inputs!$C$4)</f>
        <v/>
      </c>
      <c r="C469" s="18" t="str">
        <f>IF(A469="","",(Inputs!$C$3*Inputs!$C$2)/Inputs!$C$4)</f>
        <v/>
      </c>
      <c r="D469" s="18" t="str">
        <f>IF(A469 = MAX($A$2:A1000), Inputs!$C$2, "")</f>
        <v/>
      </c>
      <c r="E469" s="18" t="str">
        <f t="shared" si="1"/>
        <v/>
      </c>
    </row>
    <row r="470">
      <c r="B470" s="18" t="str">
        <f>IF(A470="","",A470/Inputs!$C$4)</f>
        <v/>
      </c>
      <c r="C470" s="18" t="str">
        <f>IF(A470="","",(Inputs!$C$3*Inputs!$C$2)/Inputs!$C$4)</f>
        <v/>
      </c>
      <c r="D470" s="18" t="str">
        <f>IF(A470 = MAX($A$2:A1000), Inputs!$C$2, "")</f>
        <v/>
      </c>
      <c r="E470" s="18" t="str">
        <f t="shared" si="1"/>
        <v/>
      </c>
    </row>
    <row r="471">
      <c r="B471" s="18" t="str">
        <f>IF(A471="","",A471/Inputs!$C$4)</f>
        <v/>
      </c>
      <c r="C471" s="18" t="str">
        <f>IF(A471="","",(Inputs!$C$3*Inputs!$C$2)/Inputs!$C$4)</f>
        <v/>
      </c>
      <c r="D471" s="18" t="str">
        <f>IF(A471 = MAX($A$2:A1000), Inputs!$C$2, "")</f>
        <v/>
      </c>
      <c r="E471" s="18" t="str">
        <f t="shared" si="1"/>
        <v/>
      </c>
    </row>
    <row r="472">
      <c r="B472" s="18" t="str">
        <f>IF(A472="","",A472/Inputs!$C$4)</f>
        <v/>
      </c>
      <c r="C472" s="18" t="str">
        <f>IF(A472="","",(Inputs!$C$3*Inputs!$C$2)/Inputs!$C$4)</f>
        <v/>
      </c>
      <c r="D472" s="18" t="str">
        <f>IF(A472 = MAX($A$2:A1000), Inputs!$C$2, "")</f>
        <v/>
      </c>
      <c r="E472" s="18" t="str">
        <f t="shared" si="1"/>
        <v/>
      </c>
    </row>
    <row r="473">
      <c r="B473" s="18" t="str">
        <f>IF(A473="","",A473/Inputs!$C$4)</f>
        <v/>
      </c>
      <c r="C473" s="18" t="str">
        <f>IF(A473="","",(Inputs!$C$3*Inputs!$C$2)/Inputs!$C$4)</f>
        <v/>
      </c>
      <c r="D473" s="18" t="str">
        <f>IF(A473 = MAX($A$2:A1000), Inputs!$C$2, "")</f>
        <v/>
      </c>
      <c r="E473" s="18" t="str">
        <f t="shared" si="1"/>
        <v/>
      </c>
    </row>
    <row r="474">
      <c r="B474" s="18" t="str">
        <f>IF(A474="","",A474/Inputs!$C$4)</f>
        <v/>
      </c>
      <c r="C474" s="18" t="str">
        <f>IF(A474="","",(Inputs!$C$3*Inputs!$C$2)/Inputs!$C$4)</f>
        <v/>
      </c>
      <c r="D474" s="18" t="str">
        <f>IF(A474 = MAX($A$2:A1000), Inputs!$C$2, "")</f>
        <v/>
      </c>
      <c r="E474" s="18" t="str">
        <f t="shared" si="1"/>
        <v/>
      </c>
    </row>
    <row r="475">
      <c r="B475" s="18" t="str">
        <f>IF(A475="","",A475/Inputs!$C$4)</f>
        <v/>
      </c>
      <c r="C475" s="18" t="str">
        <f>IF(A475="","",(Inputs!$C$3*Inputs!$C$2)/Inputs!$C$4)</f>
        <v/>
      </c>
      <c r="D475" s="18" t="str">
        <f>IF(A475 = MAX($A$2:A1000), Inputs!$C$2, "")</f>
        <v/>
      </c>
      <c r="E475" s="18" t="str">
        <f t="shared" si="1"/>
        <v/>
      </c>
    </row>
    <row r="476">
      <c r="B476" s="18" t="str">
        <f>IF(A476="","",A476/Inputs!$C$4)</f>
        <v/>
      </c>
      <c r="C476" s="18" t="str">
        <f>IF(A476="","",(Inputs!$C$3*Inputs!$C$2)/Inputs!$C$4)</f>
        <v/>
      </c>
      <c r="D476" s="18" t="str">
        <f>IF(A476 = MAX($A$2:A1000), Inputs!$C$2, "")</f>
        <v/>
      </c>
      <c r="E476" s="18" t="str">
        <f t="shared" si="1"/>
        <v/>
      </c>
    </row>
    <row r="477">
      <c r="B477" s="18" t="str">
        <f>IF(A477="","",A477/Inputs!$C$4)</f>
        <v/>
      </c>
      <c r="C477" s="18" t="str">
        <f>IF(A477="","",(Inputs!$C$3*Inputs!$C$2)/Inputs!$C$4)</f>
        <v/>
      </c>
      <c r="D477" s="18" t="str">
        <f>IF(A477 = MAX($A$2:A1000), Inputs!$C$2, "")</f>
        <v/>
      </c>
      <c r="E477" s="18" t="str">
        <f t="shared" si="1"/>
        <v/>
      </c>
    </row>
    <row r="478">
      <c r="B478" s="18" t="str">
        <f>IF(A478="","",A478/Inputs!$C$4)</f>
        <v/>
      </c>
      <c r="C478" s="18" t="str">
        <f>IF(A478="","",(Inputs!$C$3*Inputs!$C$2)/Inputs!$C$4)</f>
        <v/>
      </c>
      <c r="D478" s="18" t="str">
        <f>IF(A478 = MAX($A$2:A1000), Inputs!$C$2, "")</f>
        <v/>
      </c>
      <c r="E478" s="18" t="str">
        <f t="shared" si="1"/>
        <v/>
      </c>
    </row>
    <row r="479">
      <c r="B479" s="18" t="str">
        <f>IF(A479="","",A479/Inputs!$C$4)</f>
        <v/>
      </c>
      <c r="C479" s="18" t="str">
        <f>IF(A479="","",(Inputs!$C$3*Inputs!$C$2)/Inputs!$C$4)</f>
        <v/>
      </c>
      <c r="D479" s="18" t="str">
        <f>IF(A479 = MAX($A$2:A1000), Inputs!$C$2, "")</f>
        <v/>
      </c>
      <c r="E479" s="18" t="str">
        <f t="shared" si="1"/>
        <v/>
      </c>
    </row>
    <row r="480">
      <c r="B480" s="18" t="str">
        <f>IF(A480="","",A480/Inputs!$C$4)</f>
        <v/>
      </c>
      <c r="C480" s="18" t="str">
        <f>IF(A480="","",(Inputs!$C$3*Inputs!$C$2)/Inputs!$C$4)</f>
        <v/>
      </c>
      <c r="D480" s="18" t="str">
        <f>IF(A480 = MAX($A$2:A1000), Inputs!$C$2, "")</f>
        <v/>
      </c>
      <c r="E480" s="18" t="str">
        <f t="shared" si="1"/>
        <v/>
      </c>
    </row>
    <row r="481">
      <c r="B481" s="18" t="str">
        <f>IF(A481="","",A481/Inputs!$C$4)</f>
        <v/>
      </c>
      <c r="C481" s="18" t="str">
        <f>IF(A481="","",(Inputs!$C$3*Inputs!$C$2)/Inputs!$C$4)</f>
        <v/>
      </c>
      <c r="D481" s="18" t="str">
        <f>IF(A481 = MAX($A$2:A1000), Inputs!$C$2, "")</f>
        <v/>
      </c>
      <c r="E481" s="18" t="str">
        <f t="shared" si="1"/>
        <v/>
      </c>
    </row>
    <row r="482">
      <c r="B482" s="18" t="str">
        <f>IF(A482="","",A482/Inputs!$C$4)</f>
        <v/>
      </c>
      <c r="C482" s="18" t="str">
        <f>IF(A482="","",(Inputs!$C$3*Inputs!$C$2)/Inputs!$C$4)</f>
        <v/>
      </c>
      <c r="D482" s="18" t="str">
        <f>IF(A482 = MAX($A$2:A1000), Inputs!$C$2, "")</f>
        <v/>
      </c>
      <c r="E482" s="18" t="str">
        <f t="shared" si="1"/>
        <v/>
      </c>
    </row>
    <row r="483">
      <c r="B483" s="18" t="str">
        <f>IF(A483="","",A483/Inputs!$C$4)</f>
        <v/>
      </c>
      <c r="C483" s="18" t="str">
        <f>IF(A483="","",(Inputs!$C$3*Inputs!$C$2)/Inputs!$C$4)</f>
        <v/>
      </c>
      <c r="D483" s="18" t="str">
        <f>IF(A483 = MAX($A$2:A1000), Inputs!$C$2, "")</f>
        <v/>
      </c>
      <c r="E483" s="18" t="str">
        <f t="shared" si="1"/>
        <v/>
      </c>
    </row>
    <row r="484">
      <c r="B484" s="18" t="str">
        <f>IF(A484="","",A484/Inputs!$C$4)</f>
        <v/>
      </c>
      <c r="C484" s="18" t="str">
        <f>IF(A484="","",(Inputs!$C$3*Inputs!$C$2)/Inputs!$C$4)</f>
        <v/>
      </c>
      <c r="D484" s="18" t="str">
        <f>IF(A484 = MAX($A$2:A1000), Inputs!$C$2, "")</f>
        <v/>
      </c>
      <c r="E484" s="18" t="str">
        <f t="shared" si="1"/>
        <v/>
      </c>
    </row>
    <row r="485">
      <c r="B485" s="18" t="str">
        <f>IF(A485="","",A485/Inputs!$C$4)</f>
        <v/>
      </c>
      <c r="C485" s="18" t="str">
        <f>IF(A485="","",(Inputs!$C$3*Inputs!$C$2)/Inputs!$C$4)</f>
        <v/>
      </c>
      <c r="D485" s="18" t="str">
        <f>IF(A485 = MAX($A$2:A1000), Inputs!$C$2, "")</f>
        <v/>
      </c>
      <c r="E485" s="18" t="str">
        <f t="shared" si="1"/>
        <v/>
      </c>
    </row>
    <row r="486">
      <c r="B486" s="18" t="str">
        <f>IF(A486="","",A486/Inputs!$C$4)</f>
        <v/>
      </c>
      <c r="C486" s="18" t="str">
        <f>IF(A486="","",(Inputs!$C$3*Inputs!$C$2)/Inputs!$C$4)</f>
        <v/>
      </c>
      <c r="D486" s="18" t="str">
        <f>IF(A486 = MAX($A$2:A1000), Inputs!$C$2, "")</f>
        <v/>
      </c>
      <c r="E486" s="18" t="str">
        <f t="shared" si="1"/>
        <v/>
      </c>
    </row>
    <row r="487">
      <c r="B487" s="18" t="str">
        <f>IF(A487="","",A487/Inputs!$C$4)</f>
        <v/>
      </c>
      <c r="C487" s="18" t="str">
        <f>IF(A487="","",(Inputs!$C$3*Inputs!$C$2)/Inputs!$C$4)</f>
        <v/>
      </c>
      <c r="D487" s="18" t="str">
        <f>IF(A487 = MAX($A$2:A1000), Inputs!$C$2, "")</f>
        <v/>
      </c>
      <c r="E487" s="18" t="str">
        <f t="shared" si="1"/>
        <v/>
      </c>
    </row>
    <row r="488">
      <c r="B488" s="18" t="str">
        <f>IF(A488="","",A488/Inputs!$C$4)</f>
        <v/>
      </c>
      <c r="C488" s="18" t="str">
        <f>IF(A488="","",(Inputs!$C$3*Inputs!$C$2)/Inputs!$C$4)</f>
        <v/>
      </c>
      <c r="D488" s="18" t="str">
        <f>IF(A488 = MAX($A$2:A1000), Inputs!$C$2, "")</f>
        <v/>
      </c>
      <c r="E488" s="18" t="str">
        <f t="shared" si="1"/>
        <v/>
      </c>
    </row>
    <row r="489">
      <c r="B489" s="18" t="str">
        <f>IF(A489="","",A489/Inputs!$C$4)</f>
        <v/>
      </c>
      <c r="C489" s="18" t="str">
        <f>IF(A489="","",(Inputs!$C$3*Inputs!$C$2)/Inputs!$C$4)</f>
        <v/>
      </c>
      <c r="D489" s="18" t="str">
        <f>IF(A489 = MAX($A$2:A1000), Inputs!$C$2, "")</f>
        <v/>
      </c>
      <c r="E489" s="18" t="str">
        <f t="shared" si="1"/>
        <v/>
      </c>
    </row>
    <row r="490">
      <c r="B490" s="18" t="str">
        <f>IF(A490="","",A490/Inputs!$C$4)</f>
        <v/>
      </c>
      <c r="C490" s="18" t="str">
        <f>IF(A490="","",(Inputs!$C$3*Inputs!$C$2)/Inputs!$C$4)</f>
        <v/>
      </c>
      <c r="D490" s="18" t="str">
        <f>IF(A490 = MAX($A$2:A1000), Inputs!$C$2, "")</f>
        <v/>
      </c>
      <c r="E490" s="18" t="str">
        <f t="shared" si="1"/>
        <v/>
      </c>
    </row>
    <row r="491">
      <c r="B491" s="18" t="str">
        <f>IF(A491="","",A491/Inputs!$C$4)</f>
        <v/>
      </c>
      <c r="C491" s="18" t="str">
        <f>IF(A491="","",(Inputs!$C$3*Inputs!$C$2)/Inputs!$C$4)</f>
        <v/>
      </c>
      <c r="D491" s="18" t="str">
        <f>IF(A491 = MAX($A$2:A1000), Inputs!$C$2, "")</f>
        <v/>
      </c>
      <c r="E491" s="18" t="str">
        <f t="shared" si="1"/>
        <v/>
      </c>
    </row>
    <row r="492">
      <c r="B492" s="18" t="str">
        <f>IF(A492="","",A492/Inputs!$C$4)</f>
        <v/>
      </c>
      <c r="C492" s="18" t="str">
        <f>IF(A492="","",(Inputs!$C$3*Inputs!$C$2)/Inputs!$C$4)</f>
        <v/>
      </c>
      <c r="D492" s="18" t="str">
        <f>IF(A492 = MAX($A$2:A1000), Inputs!$C$2, "")</f>
        <v/>
      </c>
      <c r="E492" s="18" t="str">
        <f t="shared" si="1"/>
        <v/>
      </c>
    </row>
    <row r="493">
      <c r="B493" s="18" t="str">
        <f>IF(A493="","",A493/Inputs!$C$4)</f>
        <v/>
      </c>
      <c r="C493" s="18" t="str">
        <f>IF(A493="","",(Inputs!$C$3*Inputs!$C$2)/Inputs!$C$4)</f>
        <v/>
      </c>
      <c r="D493" s="18" t="str">
        <f>IF(A493 = MAX($A$2:A1000), Inputs!$C$2, "")</f>
        <v/>
      </c>
      <c r="E493" s="18" t="str">
        <f t="shared" si="1"/>
        <v/>
      </c>
    </row>
    <row r="494">
      <c r="B494" s="18" t="str">
        <f>IF(A494="","",A494/Inputs!$C$4)</f>
        <v/>
      </c>
      <c r="C494" s="18" t="str">
        <f>IF(A494="","",(Inputs!$C$3*Inputs!$C$2)/Inputs!$C$4)</f>
        <v/>
      </c>
      <c r="D494" s="18" t="str">
        <f>IF(A494 = MAX($A$2:A1000), Inputs!$C$2, "")</f>
        <v/>
      </c>
      <c r="E494" s="18" t="str">
        <f t="shared" si="1"/>
        <v/>
      </c>
    </row>
    <row r="495">
      <c r="B495" s="18" t="str">
        <f>IF(A495="","",A495/Inputs!$C$4)</f>
        <v/>
      </c>
      <c r="C495" s="18" t="str">
        <f>IF(A495="","",(Inputs!$C$3*Inputs!$C$2)/Inputs!$C$4)</f>
        <v/>
      </c>
      <c r="D495" s="18" t="str">
        <f>IF(A495 = MAX($A$2:A1000), Inputs!$C$2, "")</f>
        <v/>
      </c>
      <c r="E495" s="18" t="str">
        <f t="shared" si="1"/>
        <v/>
      </c>
    </row>
    <row r="496">
      <c r="B496" s="18" t="str">
        <f>IF(A496="","",A496/Inputs!$C$4)</f>
        <v/>
      </c>
      <c r="C496" s="18" t="str">
        <f>IF(A496="","",(Inputs!$C$3*Inputs!$C$2)/Inputs!$C$4)</f>
        <v/>
      </c>
      <c r="D496" s="18" t="str">
        <f>IF(A496 = MAX($A$2:A1000), Inputs!$C$2, "")</f>
        <v/>
      </c>
      <c r="E496" s="18" t="str">
        <f t="shared" si="1"/>
        <v/>
      </c>
    </row>
    <row r="497">
      <c r="B497" s="18" t="str">
        <f>IF(A497="","",A497/Inputs!$C$4)</f>
        <v/>
      </c>
      <c r="C497" s="18" t="str">
        <f>IF(A497="","",(Inputs!$C$3*Inputs!$C$2)/Inputs!$C$4)</f>
        <v/>
      </c>
      <c r="D497" s="18" t="str">
        <f>IF(A497 = MAX($A$2:A1000), Inputs!$C$2, "")</f>
        <v/>
      </c>
      <c r="E497" s="18" t="str">
        <f t="shared" si="1"/>
        <v/>
      </c>
    </row>
    <row r="498">
      <c r="B498" s="18" t="str">
        <f>IF(A498="","",A498/Inputs!$C$4)</f>
        <v/>
      </c>
      <c r="C498" s="18" t="str">
        <f>IF(A498="","",(Inputs!$C$3*Inputs!$C$2)/Inputs!$C$4)</f>
        <v/>
      </c>
      <c r="D498" s="18" t="str">
        <f>IF(A498 = MAX($A$2:A1000), Inputs!$C$2, "")</f>
        <v/>
      </c>
      <c r="E498" s="18" t="str">
        <f t="shared" si="1"/>
        <v/>
      </c>
    </row>
    <row r="499">
      <c r="B499" s="18" t="str">
        <f>IF(A499="","",A499/Inputs!$C$4)</f>
        <v/>
      </c>
      <c r="C499" s="18" t="str">
        <f>IF(A499="","",(Inputs!$C$3*Inputs!$C$2)/Inputs!$C$4)</f>
        <v/>
      </c>
      <c r="D499" s="18" t="str">
        <f>IF(A499 = MAX($A$2:A1000), Inputs!$C$2, "")</f>
        <v/>
      </c>
      <c r="E499" s="18" t="str">
        <f t="shared" si="1"/>
        <v/>
      </c>
    </row>
    <row r="500">
      <c r="B500" s="18" t="str">
        <f>IF(A500="","",A500/Inputs!$C$4)</f>
        <v/>
      </c>
      <c r="C500" s="18" t="str">
        <f>IF(A500="","",(Inputs!$C$3*Inputs!$C$2)/Inputs!$C$4)</f>
        <v/>
      </c>
      <c r="D500" s="18" t="str">
        <f>IF(A500 = MAX($A$2:A1000), Inputs!$C$2, "")</f>
        <v/>
      </c>
      <c r="E500" s="18" t="str">
        <f t="shared" si="1"/>
        <v/>
      </c>
    </row>
    <row r="501">
      <c r="B501" s="18" t="str">
        <f>IF(A501="","",A501/Inputs!$C$4)</f>
        <v/>
      </c>
      <c r="C501" s="18" t="str">
        <f>IF(A501="","",(Inputs!$C$3*Inputs!$C$2)/Inputs!$C$4)</f>
        <v/>
      </c>
      <c r="D501" s="18" t="str">
        <f>IF(A501 = MAX($A$2:A1000), Inputs!$C$2, "")</f>
        <v/>
      </c>
      <c r="E501" s="18" t="str">
        <f t="shared" si="1"/>
        <v/>
      </c>
    </row>
    <row r="502">
      <c r="B502" s="18" t="str">
        <f>IF(A502="","",A502/Inputs!$C$4)</f>
        <v/>
      </c>
      <c r="C502" s="18" t="str">
        <f>IF(A502="","",(Inputs!$C$3*Inputs!$C$2)/Inputs!$C$4)</f>
        <v/>
      </c>
      <c r="D502" s="18" t="str">
        <f>IF(A502 = MAX($A$2:A1000), Inputs!$C$2, "")</f>
        <v/>
      </c>
      <c r="E502" s="18" t="str">
        <f t="shared" si="1"/>
        <v/>
      </c>
    </row>
    <row r="503">
      <c r="B503" s="18" t="str">
        <f>IF(A503="","",A503/Inputs!$C$4)</f>
        <v/>
      </c>
      <c r="C503" s="18" t="str">
        <f>IF(A503="","",(Inputs!$C$3*Inputs!$C$2)/Inputs!$C$4)</f>
        <v/>
      </c>
      <c r="D503" s="18" t="str">
        <f>IF(A503 = MAX($A$2:A1000), Inputs!$C$2, "")</f>
        <v/>
      </c>
      <c r="E503" s="18" t="str">
        <f t="shared" si="1"/>
        <v/>
      </c>
    </row>
    <row r="504">
      <c r="B504" s="18" t="str">
        <f>IF(A504="","",A504/Inputs!$C$4)</f>
        <v/>
      </c>
      <c r="C504" s="18" t="str">
        <f>IF(A504="","",(Inputs!$C$3*Inputs!$C$2)/Inputs!$C$4)</f>
        <v/>
      </c>
      <c r="D504" s="18" t="str">
        <f>IF(A504 = MAX($A$2:A1000), Inputs!$C$2, "")</f>
        <v/>
      </c>
      <c r="E504" s="18" t="str">
        <f t="shared" si="1"/>
        <v/>
      </c>
    </row>
    <row r="505">
      <c r="B505" s="18" t="str">
        <f>IF(A505="","",A505/Inputs!$C$4)</f>
        <v/>
      </c>
      <c r="C505" s="18" t="str">
        <f>IF(A505="","",(Inputs!$C$3*Inputs!$C$2)/Inputs!$C$4)</f>
        <v/>
      </c>
      <c r="D505" s="18" t="str">
        <f>IF(A505 = MAX($A$2:A1000), Inputs!$C$2, "")</f>
        <v/>
      </c>
      <c r="E505" s="18" t="str">
        <f t="shared" si="1"/>
        <v/>
      </c>
    </row>
    <row r="506">
      <c r="B506" s="18" t="str">
        <f>IF(A506="","",A506/Inputs!$C$4)</f>
        <v/>
      </c>
      <c r="C506" s="18" t="str">
        <f>IF(A506="","",(Inputs!$C$3*Inputs!$C$2)/Inputs!$C$4)</f>
        <v/>
      </c>
      <c r="D506" s="18" t="str">
        <f>IF(A506 = MAX($A$2:A1000), Inputs!$C$2, "")</f>
        <v/>
      </c>
      <c r="E506" s="18" t="str">
        <f t="shared" si="1"/>
        <v/>
      </c>
    </row>
    <row r="507">
      <c r="B507" s="18" t="str">
        <f>IF(A507="","",A507/Inputs!$C$4)</f>
        <v/>
      </c>
      <c r="C507" s="18" t="str">
        <f>IF(A507="","",(Inputs!$C$3*Inputs!$C$2)/Inputs!$C$4)</f>
        <v/>
      </c>
      <c r="D507" s="18" t="str">
        <f>IF(A507 = MAX($A$2:A1000), Inputs!$C$2, "")</f>
        <v/>
      </c>
      <c r="E507" s="18" t="str">
        <f t="shared" si="1"/>
        <v/>
      </c>
    </row>
    <row r="508">
      <c r="B508" s="18" t="str">
        <f>IF(A508="","",A508/Inputs!$C$4)</f>
        <v/>
      </c>
      <c r="C508" s="18" t="str">
        <f>IF(A508="","",(Inputs!$C$3*Inputs!$C$2)/Inputs!$C$4)</f>
        <v/>
      </c>
      <c r="D508" s="18" t="str">
        <f>IF(A508 = MAX($A$2:A1000), Inputs!$C$2, "")</f>
        <v/>
      </c>
      <c r="E508" s="18" t="str">
        <f t="shared" si="1"/>
        <v/>
      </c>
    </row>
    <row r="509">
      <c r="B509" s="18" t="str">
        <f>IF(A509="","",A509/Inputs!$C$4)</f>
        <v/>
      </c>
      <c r="C509" s="18" t="str">
        <f>IF(A509="","",(Inputs!$C$3*Inputs!$C$2)/Inputs!$C$4)</f>
        <v/>
      </c>
      <c r="D509" s="18" t="str">
        <f>IF(A509 = MAX($A$2:A1000), Inputs!$C$2, "")</f>
        <v/>
      </c>
      <c r="E509" s="18" t="str">
        <f t="shared" si="1"/>
        <v/>
      </c>
    </row>
    <row r="510">
      <c r="B510" s="18" t="str">
        <f>IF(A510="","",A510/Inputs!$C$4)</f>
        <v/>
      </c>
      <c r="C510" s="18" t="str">
        <f>IF(A510="","",(Inputs!$C$3*Inputs!$C$2)/Inputs!$C$4)</f>
        <v/>
      </c>
      <c r="D510" s="18" t="str">
        <f>IF(A510 = MAX($A$2:A1000), Inputs!$C$2, "")</f>
        <v/>
      </c>
      <c r="E510" s="18" t="str">
        <f t="shared" si="1"/>
        <v/>
      </c>
    </row>
    <row r="511">
      <c r="B511" s="18" t="str">
        <f>IF(A511="","",A511/Inputs!$C$4)</f>
        <v/>
      </c>
      <c r="C511" s="18" t="str">
        <f>IF(A511="","",(Inputs!$C$3*Inputs!$C$2)/Inputs!$C$4)</f>
        <v/>
      </c>
      <c r="D511" s="18" t="str">
        <f>IF(A511 = MAX($A$2:A1000), Inputs!$C$2, "")</f>
        <v/>
      </c>
      <c r="E511" s="18" t="str">
        <f t="shared" si="1"/>
        <v/>
      </c>
    </row>
    <row r="512">
      <c r="B512" s="18" t="str">
        <f>IF(A512="","",A512/Inputs!$C$4)</f>
        <v/>
      </c>
      <c r="C512" s="18" t="str">
        <f>IF(A512="","",(Inputs!$C$3*Inputs!$C$2)/Inputs!$C$4)</f>
        <v/>
      </c>
      <c r="D512" s="18" t="str">
        <f>IF(A512 = MAX($A$2:A1000), Inputs!$C$2, "")</f>
        <v/>
      </c>
      <c r="E512" s="18" t="str">
        <f t="shared" si="1"/>
        <v/>
      </c>
    </row>
    <row r="513">
      <c r="B513" s="18" t="str">
        <f>IF(A513="","",A513/Inputs!$C$4)</f>
        <v/>
      </c>
      <c r="C513" s="18" t="str">
        <f>IF(A513="","",(Inputs!$C$3*Inputs!$C$2)/Inputs!$C$4)</f>
        <v/>
      </c>
      <c r="D513" s="18" t="str">
        <f>IF(A513 = MAX($A$2:A1000), Inputs!$C$2, "")</f>
        <v/>
      </c>
      <c r="E513" s="18" t="str">
        <f t="shared" si="1"/>
        <v/>
      </c>
    </row>
    <row r="514">
      <c r="B514" s="18" t="str">
        <f>IF(A514="","",A514/Inputs!$C$4)</f>
        <v/>
      </c>
      <c r="C514" s="18" t="str">
        <f>IF(A514="","",(Inputs!$C$3*Inputs!$C$2)/Inputs!$C$4)</f>
        <v/>
      </c>
      <c r="D514" s="18" t="str">
        <f>IF(A514 = MAX($A$2:A1000), Inputs!$C$2, "")</f>
        <v/>
      </c>
      <c r="E514" s="18" t="str">
        <f t="shared" si="1"/>
        <v/>
      </c>
    </row>
    <row r="515">
      <c r="B515" s="18" t="str">
        <f>IF(A515="","",A515/Inputs!$C$4)</f>
        <v/>
      </c>
      <c r="C515" s="18" t="str">
        <f>IF(A515="","",(Inputs!$C$3*Inputs!$C$2)/Inputs!$C$4)</f>
        <v/>
      </c>
      <c r="D515" s="18" t="str">
        <f>IF(A515 = MAX($A$2:A1000), Inputs!$C$2, "")</f>
        <v/>
      </c>
      <c r="E515" s="18" t="str">
        <f t="shared" si="1"/>
        <v/>
      </c>
    </row>
    <row r="516">
      <c r="B516" s="18" t="str">
        <f>IF(A516="","",A516/Inputs!$C$4)</f>
        <v/>
      </c>
      <c r="C516" s="18" t="str">
        <f>IF(A516="","",(Inputs!$C$3*Inputs!$C$2)/Inputs!$C$4)</f>
        <v/>
      </c>
      <c r="D516" s="18" t="str">
        <f>IF(A516 = MAX($A$2:A1000), Inputs!$C$2, "")</f>
        <v/>
      </c>
      <c r="E516" s="18" t="str">
        <f t="shared" si="1"/>
        <v/>
      </c>
    </row>
    <row r="517">
      <c r="B517" s="18" t="str">
        <f>IF(A517="","",A517/Inputs!$C$4)</f>
        <v/>
      </c>
      <c r="C517" s="18" t="str">
        <f>IF(A517="","",(Inputs!$C$3*Inputs!$C$2)/Inputs!$C$4)</f>
        <v/>
      </c>
      <c r="D517" s="18" t="str">
        <f>IF(A517 = MAX($A$2:A1000), Inputs!$C$2, "")</f>
        <v/>
      </c>
      <c r="E517" s="18" t="str">
        <f t="shared" si="1"/>
        <v/>
      </c>
    </row>
    <row r="518">
      <c r="B518" s="18" t="str">
        <f>IF(A518="","",A518/Inputs!$C$4)</f>
        <v/>
      </c>
      <c r="C518" s="18" t="str">
        <f>IF(A518="","",(Inputs!$C$3*Inputs!$C$2)/Inputs!$C$4)</f>
        <v/>
      </c>
      <c r="D518" s="18" t="str">
        <f>IF(A518 = MAX($A$2:A1000), Inputs!$C$2, "")</f>
        <v/>
      </c>
      <c r="E518" s="18" t="str">
        <f t="shared" si="1"/>
        <v/>
      </c>
    </row>
    <row r="519">
      <c r="B519" s="18" t="str">
        <f>IF(A519="","",A519/Inputs!$C$4)</f>
        <v/>
      </c>
      <c r="C519" s="18" t="str">
        <f>IF(A519="","",(Inputs!$C$3*Inputs!$C$2)/Inputs!$C$4)</f>
        <v/>
      </c>
      <c r="D519" s="18" t="str">
        <f>IF(A519 = MAX($A$2:A1000), Inputs!$C$2, "")</f>
        <v/>
      </c>
      <c r="E519" s="18" t="str">
        <f t="shared" si="1"/>
        <v/>
      </c>
    </row>
    <row r="520">
      <c r="B520" s="18" t="str">
        <f>IF(A520="","",A520/Inputs!$C$4)</f>
        <v/>
      </c>
      <c r="C520" s="18" t="str">
        <f>IF(A520="","",(Inputs!$C$3*Inputs!$C$2)/Inputs!$C$4)</f>
        <v/>
      </c>
      <c r="D520" s="18" t="str">
        <f>IF(A520 = MAX($A$2:A1000), Inputs!$C$2, "")</f>
        <v/>
      </c>
      <c r="E520" s="18" t="str">
        <f t="shared" si="1"/>
        <v/>
      </c>
    </row>
    <row r="521">
      <c r="B521" s="18" t="str">
        <f>IF(A521="","",A521/Inputs!$C$4)</f>
        <v/>
      </c>
      <c r="C521" s="18" t="str">
        <f>IF(A521="","",(Inputs!$C$3*Inputs!$C$2)/Inputs!$C$4)</f>
        <v/>
      </c>
      <c r="D521" s="18" t="str">
        <f>IF(A521 = MAX($A$2:A1000), Inputs!$C$2, "")</f>
        <v/>
      </c>
      <c r="E521" s="18" t="str">
        <f t="shared" si="1"/>
        <v/>
      </c>
    </row>
    <row r="522">
      <c r="B522" s="18" t="str">
        <f>IF(A522="","",A522/Inputs!$C$4)</f>
        <v/>
      </c>
      <c r="C522" s="18" t="str">
        <f>IF(A522="","",(Inputs!$C$3*Inputs!$C$2)/Inputs!$C$4)</f>
        <v/>
      </c>
      <c r="D522" s="18" t="str">
        <f>IF(A522 = MAX($A$2:A1000), Inputs!$C$2, "")</f>
        <v/>
      </c>
      <c r="E522" s="18" t="str">
        <f t="shared" si="1"/>
        <v/>
      </c>
    </row>
    <row r="523">
      <c r="B523" s="18" t="str">
        <f>IF(A523="","",A523/Inputs!$C$4)</f>
        <v/>
      </c>
      <c r="C523" s="18" t="str">
        <f>IF(A523="","",(Inputs!$C$3*Inputs!$C$2)/Inputs!$C$4)</f>
        <v/>
      </c>
      <c r="D523" s="18" t="str">
        <f>IF(A523 = MAX($A$2:A1000), Inputs!$C$2, "")</f>
        <v/>
      </c>
      <c r="E523" s="18" t="str">
        <f t="shared" si="1"/>
        <v/>
      </c>
    </row>
    <row r="524">
      <c r="B524" s="18" t="str">
        <f>IF(A524="","",A524/Inputs!$C$4)</f>
        <v/>
      </c>
      <c r="C524" s="18" t="str">
        <f>IF(A524="","",(Inputs!$C$3*Inputs!$C$2)/Inputs!$C$4)</f>
        <v/>
      </c>
      <c r="D524" s="18" t="str">
        <f>IF(A524 = MAX($A$2:A1000), Inputs!$C$2, "")</f>
        <v/>
      </c>
      <c r="E524" s="18" t="str">
        <f t="shared" si="1"/>
        <v/>
      </c>
    </row>
    <row r="525">
      <c r="B525" s="18" t="str">
        <f>IF(A525="","",A525/Inputs!$C$4)</f>
        <v/>
      </c>
      <c r="C525" s="18" t="str">
        <f>IF(A525="","",(Inputs!$C$3*Inputs!$C$2)/Inputs!$C$4)</f>
        <v/>
      </c>
      <c r="D525" s="18" t="str">
        <f>IF(A525 = MAX($A$2:A1000), Inputs!$C$2, "")</f>
        <v/>
      </c>
      <c r="E525" s="18" t="str">
        <f t="shared" si="1"/>
        <v/>
      </c>
    </row>
    <row r="526">
      <c r="B526" s="18" t="str">
        <f>IF(A526="","",A526/Inputs!$C$4)</f>
        <v/>
      </c>
      <c r="C526" s="18" t="str">
        <f>IF(A526="","",(Inputs!$C$3*Inputs!$C$2)/Inputs!$C$4)</f>
        <v/>
      </c>
      <c r="D526" s="18" t="str">
        <f>IF(A526 = MAX($A$2:A1000), Inputs!$C$2, "")</f>
        <v/>
      </c>
      <c r="E526" s="18" t="str">
        <f t="shared" si="1"/>
        <v/>
      </c>
    </row>
    <row r="527">
      <c r="B527" s="18" t="str">
        <f>IF(A527="","",A527/Inputs!$C$4)</f>
        <v/>
      </c>
      <c r="C527" s="18" t="str">
        <f>IF(A527="","",(Inputs!$C$3*Inputs!$C$2)/Inputs!$C$4)</f>
        <v/>
      </c>
      <c r="D527" s="18" t="str">
        <f>IF(A527 = MAX($A$2:A1000), Inputs!$C$2, "")</f>
        <v/>
      </c>
      <c r="E527" s="18" t="str">
        <f t="shared" si="1"/>
        <v/>
      </c>
    </row>
    <row r="528">
      <c r="B528" s="18" t="str">
        <f>IF(A528="","",A528/Inputs!$C$4)</f>
        <v/>
      </c>
      <c r="C528" s="18" t="str">
        <f>IF(A528="","",(Inputs!$C$3*Inputs!$C$2)/Inputs!$C$4)</f>
        <v/>
      </c>
      <c r="D528" s="18" t="str">
        <f>IF(A528 = MAX($A$2:A1000), Inputs!$C$2, "")</f>
        <v/>
      </c>
      <c r="E528" s="18" t="str">
        <f t="shared" si="1"/>
        <v/>
      </c>
    </row>
    <row r="529">
      <c r="B529" s="18" t="str">
        <f>IF(A529="","",A529/Inputs!$C$4)</f>
        <v/>
      </c>
      <c r="C529" s="18" t="str">
        <f>IF(A529="","",(Inputs!$C$3*Inputs!$C$2)/Inputs!$C$4)</f>
        <v/>
      </c>
      <c r="D529" s="18" t="str">
        <f>IF(A529 = MAX($A$2:A1000), Inputs!$C$2, "")</f>
        <v/>
      </c>
      <c r="E529" s="18" t="str">
        <f t="shared" si="1"/>
        <v/>
      </c>
    </row>
    <row r="530">
      <c r="B530" s="18" t="str">
        <f>IF(A530="","",A530/Inputs!$C$4)</f>
        <v/>
      </c>
      <c r="C530" s="18" t="str">
        <f>IF(A530="","",(Inputs!$C$3*Inputs!$C$2)/Inputs!$C$4)</f>
        <v/>
      </c>
      <c r="D530" s="18" t="str">
        <f>IF(A530 = MAX($A$2:A1000), Inputs!$C$2, "")</f>
        <v/>
      </c>
      <c r="E530" s="18" t="str">
        <f t="shared" si="1"/>
        <v/>
      </c>
    </row>
    <row r="531">
      <c r="B531" s="18" t="str">
        <f>IF(A531="","",A531/Inputs!$C$4)</f>
        <v/>
      </c>
      <c r="C531" s="18" t="str">
        <f>IF(A531="","",(Inputs!$C$3*Inputs!$C$2)/Inputs!$C$4)</f>
        <v/>
      </c>
      <c r="D531" s="18" t="str">
        <f>IF(A531 = MAX($A$2:A1000), Inputs!$C$2, "")</f>
        <v/>
      </c>
      <c r="E531" s="18" t="str">
        <f t="shared" si="1"/>
        <v/>
      </c>
    </row>
    <row r="532">
      <c r="B532" s="18" t="str">
        <f>IF(A532="","",A532/Inputs!$C$4)</f>
        <v/>
      </c>
      <c r="C532" s="18" t="str">
        <f>IF(A532="","",(Inputs!$C$3*Inputs!$C$2)/Inputs!$C$4)</f>
        <v/>
      </c>
      <c r="D532" s="18" t="str">
        <f>IF(A532 = MAX($A$2:A1000), Inputs!$C$2, "")</f>
        <v/>
      </c>
      <c r="E532" s="18" t="str">
        <f t="shared" si="1"/>
        <v/>
      </c>
    </row>
    <row r="533">
      <c r="B533" s="18" t="str">
        <f>IF(A533="","",A533/Inputs!$C$4)</f>
        <v/>
      </c>
      <c r="C533" s="18" t="str">
        <f>IF(A533="","",(Inputs!$C$3*Inputs!$C$2)/Inputs!$C$4)</f>
        <v/>
      </c>
      <c r="D533" s="18" t="str">
        <f>IF(A533 = MAX($A$2:A1000), Inputs!$C$2, "")</f>
        <v/>
      </c>
      <c r="E533" s="18" t="str">
        <f t="shared" si="1"/>
        <v/>
      </c>
    </row>
    <row r="534">
      <c r="B534" s="18" t="str">
        <f>IF(A534="","",A534/Inputs!$C$4)</f>
        <v/>
      </c>
      <c r="C534" s="18" t="str">
        <f>IF(A534="","",(Inputs!$C$3*Inputs!$C$2)/Inputs!$C$4)</f>
        <v/>
      </c>
      <c r="D534" s="18" t="str">
        <f>IF(A534 = MAX($A$2:A1000), Inputs!$C$2, "")</f>
        <v/>
      </c>
      <c r="E534" s="18" t="str">
        <f t="shared" si="1"/>
        <v/>
      </c>
    </row>
    <row r="535">
      <c r="B535" s="18" t="str">
        <f>IF(A535="","",A535/Inputs!$C$4)</f>
        <v/>
      </c>
      <c r="C535" s="18" t="str">
        <f>IF(A535="","",(Inputs!$C$3*Inputs!$C$2)/Inputs!$C$4)</f>
        <v/>
      </c>
      <c r="D535" s="18" t="str">
        <f>IF(A535 = MAX($A$2:A1000), Inputs!$C$2, "")</f>
        <v/>
      </c>
      <c r="E535" s="18" t="str">
        <f t="shared" si="1"/>
        <v/>
      </c>
    </row>
    <row r="536">
      <c r="B536" s="18" t="str">
        <f>IF(A536="","",A536/Inputs!$C$4)</f>
        <v/>
      </c>
      <c r="C536" s="18" t="str">
        <f>IF(A536="","",(Inputs!$C$3*Inputs!$C$2)/Inputs!$C$4)</f>
        <v/>
      </c>
      <c r="D536" s="18" t="str">
        <f>IF(A536 = MAX($A$2:A1000), Inputs!$C$2, "")</f>
        <v/>
      </c>
      <c r="E536" s="18" t="str">
        <f t="shared" si="1"/>
        <v/>
      </c>
    </row>
    <row r="537">
      <c r="B537" s="18" t="str">
        <f>IF(A537="","",A537/Inputs!$C$4)</f>
        <v/>
      </c>
      <c r="C537" s="18" t="str">
        <f>IF(A537="","",(Inputs!$C$3*Inputs!$C$2)/Inputs!$C$4)</f>
        <v/>
      </c>
      <c r="D537" s="18" t="str">
        <f>IF(A537 = MAX($A$2:A1000), Inputs!$C$2, "")</f>
        <v/>
      </c>
      <c r="E537" s="18" t="str">
        <f t="shared" si="1"/>
        <v/>
      </c>
    </row>
    <row r="538">
      <c r="B538" s="18" t="str">
        <f>IF(A538="","",A538/Inputs!$C$4)</f>
        <v/>
      </c>
      <c r="C538" s="18" t="str">
        <f>IF(A538="","",(Inputs!$C$3*Inputs!$C$2)/Inputs!$C$4)</f>
        <v/>
      </c>
      <c r="D538" s="18" t="str">
        <f>IF(A538 = MAX($A$2:A1000), Inputs!$C$2, "")</f>
        <v/>
      </c>
      <c r="E538" s="18" t="str">
        <f t="shared" si="1"/>
        <v/>
      </c>
    </row>
    <row r="539">
      <c r="B539" s="18" t="str">
        <f>IF(A539="","",A539/Inputs!$C$4)</f>
        <v/>
      </c>
      <c r="C539" s="18" t="str">
        <f>IF(A539="","",(Inputs!$C$3*Inputs!$C$2)/Inputs!$C$4)</f>
        <v/>
      </c>
      <c r="D539" s="18" t="str">
        <f>IF(A539 = MAX($A$2:A1000), Inputs!$C$2, "")</f>
        <v/>
      </c>
      <c r="E539" s="18" t="str">
        <f t="shared" si="1"/>
        <v/>
      </c>
    </row>
    <row r="540">
      <c r="B540" s="18" t="str">
        <f>IF(A540="","",A540/Inputs!$C$4)</f>
        <v/>
      </c>
      <c r="C540" s="18" t="str">
        <f>IF(A540="","",(Inputs!$C$3*Inputs!$C$2)/Inputs!$C$4)</f>
        <v/>
      </c>
      <c r="D540" s="18" t="str">
        <f>IF(A540 = MAX($A$2:A1000), Inputs!$C$2, "")</f>
        <v/>
      </c>
      <c r="E540" s="18" t="str">
        <f t="shared" si="1"/>
        <v/>
      </c>
    </row>
    <row r="541">
      <c r="B541" s="18" t="str">
        <f>IF(A541="","",A541/Inputs!$C$4)</f>
        <v/>
      </c>
      <c r="C541" s="18" t="str">
        <f>IF(A541="","",(Inputs!$C$3*Inputs!$C$2)/Inputs!$C$4)</f>
        <v/>
      </c>
      <c r="D541" s="18" t="str">
        <f>IF(A541 = MAX($A$2:A1000), Inputs!$C$2, "")</f>
        <v/>
      </c>
      <c r="E541" s="18" t="str">
        <f t="shared" si="1"/>
        <v/>
      </c>
    </row>
    <row r="542">
      <c r="B542" s="18" t="str">
        <f>IF(A542="","",A542/Inputs!$C$4)</f>
        <v/>
      </c>
      <c r="C542" s="18" t="str">
        <f>IF(A542="","",(Inputs!$C$3*Inputs!$C$2)/Inputs!$C$4)</f>
        <v/>
      </c>
      <c r="D542" s="18" t="str">
        <f>IF(A542 = MAX($A$2:A1000), Inputs!$C$2, "")</f>
        <v/>
      </c>
      <c r="E542" s="18" t="str">
        <f t="shared" si="1"/>
        <v/>
      </c>
    </row>
    <row r="543">
      <c r="B543" s="18" t="str">
        <f>IF(A543="","",A543/Inputs!$C$4)</f>
        <v/>
      </c>
      <c r="C543" s="18" t="str">
        <f>IF(A543="","",(Inputs!$C$3*Inputs!$C$2)/Inputs!$C$4)</f>
        <v/>
      </c>
      <c r="D543" s="18" t="str">
        <f>IF(A543 = MAX($A$2:A1000), Inputs!$C$2, "")</f>
        <v/>
      </c>
      <c r="E543" s="18" t="str">
        <f t="shared" si="1"/>
        <v/>
      </c>
    </row>
    <row r="544">
      <c r="B544" s="18" t="str">
        <f>IF(A544="","",A544/Inputs!$C$4)</f>
        <v/>
      </c>
      <c r="C544" s="18" t="str">
        <f>IF(A544="","",(Inputs!$C$3*Inputs!$C$2)/Inputs!$C$4)</f>
        <v/>
      </c>
      <c r="D544" s="18" t="str">
        <f>IF(A544 = MAX($A$2:A1000), Inputs!$C$2, "")</f>
        <v/>
      </c>
      <c r="E544" s="18" t="str">
        <f t="shared" si="1"/>
        <v/>
      </c>
    </row>
    <row r="545">
      <c r="B545" s="18" t="str">
        <f>IF(A545="","",A545/Inputs!$C$4)</f>
        <v/>
      </c>
      <c r="C545" s="18" t="str">
        <f>IF(A545="","",(Inputs!$C$3*Inputs!$C$2)/Inputs!$C$4)</f>
        <v/>
      </c>
      <c r="D545" s="18" t="str">
        <f>IF(A545 = MAX($A$2:A1000), Inputs!$C$2, "")</f>
        <v/>
      </c>
      <c r="E545" s="18" t="str">
        <f t="shared" si="1"/>
        <v/>
      </c>
    </row>
    <row r="546">
      <c r="B546" s="18" t="str">
        <f>IF(A546="","",A546/Inputs!$C$4)</f>
        <v/>
      </c>
      <c r="C546" s="18" t="str">
        <f>IF(A546="","",(Inputs!$C$3*Inputs!$C$2)/Inputs!$C$4)</f>
        <v/>
      </c>
      <c r="D546" s="18" t="str">
        <f>IF(A546 = MAX($A$2:A1000), Inputs!$C$2, "")</f>
        <v/>
      </c>
      <c r="E546" s="18" t="str">
        <f t="shared" si="1"/>
        <v/>
      </c>
    </row>
    <row r="547">
      <c r="B547" s="18" t="str">
        <f>IF(A547="","",A547/Inputs!$C$4)</f>
        <v/>
      </c>
      <c r="C547" s="18" t="str">
        <f>IF(A547="","",(Inputs!$C$3*Inputs!$C$2)/Inputs!$C$4)</f>
        <v/>
      </c>
      <c r="D547" s="18" t="str">
        <f>IF(A547 = MAX($A$2:A1000), Inputs!$C$2, "")</f>
        <v/>
      </c>
      <c r="E547" s="18" t="str">
        <f t="shared" si="1"/>
        <v/>
      </c>
    </row>
    <row r="548">
      <c r="B548" s="18" t="str">
        <f>IF(A548="","",A548/Inputs!$C$4)</f>
        <v/>
      </c>
      <c r="C548" s="18" t="str">
        <f>IF(A548="","",(Inputs!$C$3*Inputs!$C$2)/Inputs!$C$4)</f>
        <v/>
      </c>
      <c r="D548" s="18" t="str">
        <f>IF(A548 = MAX($A$2:A1000), Inputs!$C$2, "")</f>
        <v/>
      </c>
      <c r="E548" s="18" t="str">
        <f t="shared" si="1"/>
        <v/>
      </c>
    </row>
    <row r="549">
      <c r="B549" s="18" t="str">
        <f>IF(A549="","",A549/Inputs!$C$4)</f>
        <v/>
      </c>
      <c r="C549" s="18" t="str">
        <f>IF(A549="","",(Inputs!$C$3*Inputs!$C$2)/Inputs!$C$4)</f>
        <v/>
      </c>
      <c r="D549" s="18" t="str">
        <f>IF(A549 = MAX($A$2:A1000), Inputs!$C$2, "")</f>
        <v/>
      </c>
      <c r="E549" s="18" t="str">
        <f t="shared" si="1"/>
        <v/>
      </c>
    </row>
    <row r="550">
      <c r="B550" s="18" t="str">
        <f>IF(A550="","",A550/Inputs!$C$4)</f>
        <v/>
      </c>
      <c r="C550" s="18" t="str">
        <f>IF(A550="","",(Inputs!$C$3*Inputs!$C$2)/Inputs!$C$4)</f>
        <v/>
      </c>
      <c r="D550" s="18" t="str">
        <f>IF(A550 = MAX($A$2:A1000), Inputs!$C$2, "")</f>
        <v/>
      </c>
      <c r="E550" s="18" t="str">
        <f t="shared" si="1"/>
        <v/>
      </c>
    </row>
    <row r="551">
      <c r="B551" s="18" t="str">
        <f>IF(A551="","",A551/Inputs!$C$4)</f>
        <v/>
      </c>
      <c r="C551" s="18" t="str">
        <f>IF(A551="","",(Inputs!$C$3*Inputs!$C$2)/Inputs!$C$4)</f>
        <v/>
      </c>
      <c r="D551" s="18" t="str">
        <f>IF(A551 = MAX($A$2:A1000), Inputs!$C$2, "")</f>
        <v/>
      </c>
      <c r="E551" s="18" t="str">
        <f t="shared" si="1"/>
        <v/>
      </c>
    </row>
    <row r="552">
      <c r="B552" s="18" t="str">
        <f>IF(A552="","",A552/Inputs!$C$4)</f>
        <v/>
      </c>
      <c r="C552" s="18" t="str">
        <f>IF(A552="","",(Inputs!$C$3*Inputs!$C$2)/Inputs!$C$4)</f>
        <v/>
      </c>
      <c r="D552" s="18" t="str">
        <f>IF(A552 = MAX($A$2:A1000), Inputs!$C$2, "")</f>
        <v/>
      </c>
      <c r="E552" s="18" t="str">
        <f t="shared" si="1"/>
        <v/>
      </c>
    </row>
    <row r="553">
      <c r="B553" s="18" t="str">
        <f>IF(A553="","",A553/Inputs!$C$4)</f>
        <v/>
      </c>
      <c r="C553" s="18" t="str">
        <f>IF(A553="","",(Inputs!$C$3*Inputs!$C$2)/Inputs!$C$4)</f>
        <v/>
      </c>
      <c r="D553" s="18" t="str">
        <f>IF(A553 = MAX($A$2:A1000), Inputs!$C$2, "")</f>
        <v/>
      </c>
      <c r="E553" s="18" t="str">
        <f t="shared" si="1"/>
        <v/>
      </c>
    </row>
    <row r="554">
      <c r="B554" s="18" t="str">
        <f>IF(A554="","",A554/Inputs!$C$4)</f>
        <v/>
      </c>
      <c r="C554" s="18" t="str">
        <f>IF(A554="","",(Inputs!$C$3*Inputs!$C$2)/Inputs!$C$4)</f>
        <v/>
      </c>
      <c r="D554" s="18" t="str">
        <f>IF(A554 = MAX($A$2:A1000), Inputs!$C$2, "")</f>
        <v/>
      </c>
      <c r="E554" s="18" t="str">
        <f t="shared" si="1"/>
        <v/>
      </c>
    </row>
    <row r="555">
      <c r="B555" s="18" t="str">
        <f>IF(A555="","",A555/Inputs!$C$4)</f>
        <v/>
      </c>
      <c r="C555" s="18" t="str">
        <f>IF(A555="","",(Inputs!$C$3*Inputs!$C$2)/Inputs!$C$4)</f>
        <v/>
      </c>
      <c r="D555" s="18" t="str">
        <f>IF(A555 = MAX($A$2:A1000), Inputs!$C$2, "")</f>
        <v/>
      </c>
      <c r="E555" s="18" t="str">
        <f t="shared" si="1"/>
        <v/>
      </c>
    </row>
    <row r="556">
      <c r="B556" s="18" t="str">
        <f>IF(A556="","",A556/Inputs!$C$4)</f>
        <v/>
      </c>
      <c r="C556" s="18" t="str">
        <f>IF(A556="","",(Inputs!$C$3*Inputs!$C$2)/Inputs!$C$4)</f>
        <v/>
      </c>
      <c r="D556" s="18" t="str">
        <f>IF(A556 = MAX($A$2:A1000), Inputs!$C$2, "")</f>
        <v/>
      </c>
      <c r="E556" s="18" t="str">
        <f t="shared" si="1"/>
        <v/>
      </c>
    </row>
    <row r="557">
      <c r="B557" s="18" t="str">
        <f>IF(A557="","",A557/Inputs!$C$4)</f>
        <v/>
      </c>
      <c r="C557" s="18" t="str">
        <f>IF(A557="","",(Inputs!$C$3*Inputs!$C$2)/Inputs!$C$4)</f>
        <v/>
      </c>
      <c r="D557" s="18" t="str">
        <f>IF(A557 = MAX($A$2:A1000), Inputs!$C$2, "")</f>
        <v/>
      </c>
      <c r="E557" s="18" t="str">
        <f t="shared" si="1"/>
        <v/>
      </c>
    </row>
    <row r="558">
      <c r="B558" s="18" t="str">
        <f>IF(A558="","",A558/Inputs!$C$4)</f>
        <v/>
      </c>
      <c r="C558" s="18" t="str">
        <f>IF(A558="","",(Inputs!$C$3*Inputs!$C$2)/Inputs!$C$4)</f>
        <v/>
      </c>
      <c r="D558" s="18" t="str">
        <f>IF(A558 = MAX($A$2:A1000), Inputs!$C$2, "")</f>
        <v/>
      </c>
      <c r="E558" s="18" t="str">
        <f t="shared" si="1"/>
        <v/>
      </c>
    </row>
    <row r="559">
      <c r="B559" s="18" t="str">
        <f>IF(A559="","",A559/Inputs!$C$4)</f>
        <v/>
      </c>
      <c r="C559" s="18" t="str">
        <f>IF(A559="","",(Inputs!$C$3*Inputs!$C$2)/Inputs!$C$4)</f>
        <v/>
      </c>
      <c r="D559" s="18" t="str">
        <f>IF(A559 = MAX($A$2:A1000), Inputs!$C$2, "")</f>
        <v/>
      </c>
      <c r="E559" s="18" t="str">
        <f t="shared" si="1"/>
        <v/>
      </c>
    </row>
    <row r="560">
      <c r="B560" s="18" t="str">
        <f>IF(A560="","",A560/Inputs!$C$4)</f>
        <v/>
      </c>
      <c r="C560" s="18" t="str">
        <f>IF(A560="","",(Inputs!$C$3*Inputs!$C$2)/Inputs!$C$4)</f>
        <v/>
      </c>
      <c r="D560" s="18" t="str">
        <f>IF(A560 = MAX($A$2:A1000), Inputs!$C$2, "")</f>
        <v/>
      </c>
      <c r="E560" s="18" t="str">
        <f t="shared" si="1"/>
        <v/>
      </c>
    </row>
    <row r="561">
      <c r="B561" s="18" t="str">
        <f>IF(A561="","",A561/Inputs!$C$4)</f>
        <v/>
      </c>
      <c r="C561" s="18" t="str">
        <f>IF(A561="","",(Inputs!$C$3*Inputs!$C$2)/Inputs!$C$4)</f>
        <v/>
      </c>
      <c r="D561" s="18" t="str">
        <f>IF(A561 = MAX($A$2:A1000), Inputs!$C$2, "")</f>
        <v/>
      </c>
      <c r="E561" s="18" t="str">
        <f t="shared" si="1"/>
        <v/>
      </c>
    </row>
    <row r="562">
      <c r="B562" s="18" t="str">
        <f>IF(A562="","",A562/Inputs!$C$4)</f>
        <v/>
      </c>
      <c r="C562" s="18" t="str">
        <f>IF(A562="","",(Inputs!$C$3*Inputs!$C$2)/Inputs!$C$4)</f>
        <v/>
      </c>
      <c r="D562" s="18" t="str">
        <f>IF(A562 = MAX($A$2:A1000), Inputs!$C$2, "")</f>
        <v/>
      </c>
      <c r="E562" s="18" t="str">
        <f t="shared" si="1"/>
        <v/>
      </c>
    </row>
    <row r="563">
      <c r="B563" s="18" t="str">
        <f>IF(A563="","",A563/Inputs!$C$4)</f>
        <v/>
      </c>
      <c r="C563" s="18" t="str">
        <f>IF(A563="","",(Inputs!$C$3*Inputs!$C$2)/Inputs!$C$4)</f>
        <v/>
      </c>
      <c r="D563" s="18" t="str">
        <f>IF(A563 = MAX($A$2:A1000), Inputs!$C$2, "")</f>
        <v/>
      </c>
      <c r="E563" s="18" t="str">
        <f t="shared" si="1"/>
        <v/>
      </c>
    </row>
    <row r="564">
      <c r="B564" s="18" t="str">
        <f>IF(A564="","",A564/Inputs!$C$4)</f>
        <v/>
      </c>
      <c r="C564" s="18" t="str">
        <f>IF(A564="","",(Inputs!$C$3*Inputs!$C$2)/Inputs!$C$4)</f>
        <v/>
      </c>
      <c r="D564" s="18" t="str">
        <f>IF(A564 = MAX($A$2:A1000), Inputs!$C$2, "")</f>
        <v/>
      </c>
      <c r="E564" s="18" t="str">
        <f t="shared" si="1"/>
        <v/>
      </c>
    </row>
    <row r="565">
      <c r="B565" s="18" t="str">
        <f>IF(A565="","",A565/Inputs!$C$4)</f>
        <v/>
      </c>
      <c r="C565" s="18" t="str">
        <f>IF(A565="","",(Inputs!$C$3*Inputs!$C$2)/Inputs!$C$4)</f>
        <v/>
      </c>
      <c r="D565" s="18" t="str">
        <f>IF(A565 = MAX($A$2:A1000), Inputs!$C$2, "")</f>
        <v/>
      </c>
      <c r="E565" s="18" t="str">
        <f t="shared" si="1"/>
        <v/>
      </c>
    </row>
    <row r="566">
      <c r="B566" s="18" t="str">
        <f>IF(A566="","",A566/Inputs!$C$4)</f>
        <v/>
      </c>
      <c r="C566" s="18" t="str">
        <f>IF(A566="","",(Inputs!$C$3*Inputs!$C$2)/Inputs!$C$4)</f>
        <v/>
      </c>
      <c r="D566" s="18" t="str">
        <f>IF(A566 = MAX($A$2:A1000), Inputs!$C$2, "")</f>
        <v/>
      </c>
      <c r="E566" s="18" t="str">
        <f t="shared" si="1"/>
        <v/>
      </c>
    </row>
    <row r="567">
      <c r="B567" s="18" t="str">
        <f>IF(A567="","",A567/Inputs!$C$4)</f>
        <v/>
      </c>
      <c r="C567" s="18" t="str">
        <f>IF(A567="","",(Inputs!$C$3*Inputs!$C$2)/Inputs!$C$4)</f>
        <v/>
      </c>
      <c r="D567" s="18" t="str">
        <f>IF(A567 = MAX($A$2:A1000), Inputs!$C$2, "")</f>
        <v/>
      </c>
      <c r="E567" s="18" t="str">
        <f t="shared" si="1"/>
        <v/>
      </c>
    </row>
    <row r="568">
      <c r="B568" s="18" t="str">
        <f>IF(A568="","",A568/Inputs!$C$4)</f>
        <v/>
      </c>
      <c r="C568" s="18" t="str">
        <f>IF(A568="","",(Inputs!$C$3*Inputs!$C$2)/Inputs!$C$4)</f>
        <v/>
      </c>
      <c r="D568" s="18" t="str">
        <f>IF(A568 = MAX($A$2:A1000), Inputs!$C$2, "")</f>
        <v/>
      </c>
      <c r="E568" s="18" t="str">
        <f t="shared" si="1"/>
        <v/>
      </c>
    </row>
    <row r="569">
      <c r="B569" s="18" t="str">
        <f>IF(A569="","",A569/Inputs!$C$4)</f>
        <v/>
      </c>
      <c r="C569" s="18" t="str">
        <f>IF(A569="","",(Inputs!$C$3*Inputs!$C$2)/Inputs!$C$4)</f>
        <v/>
      </c>
      <c r="D569" s="18" t="str">
        <f>IF(A569 = MAX($A$2:A1000), Inputs!$C$2, "")</f>
        <v/>
      </c>
      <c r="E569" s="18" t="str">
        <f t="shared" si="1"/>
        <v/>
      </c>
    </row>
    <row r="570">
      <c r="B570" s="18" t="str">
        <f>IF(A570="","",A570/Inputs!$C$4)</f>
        <v/>
      </c>
      <c r="C570" s="18" t="str">
        <f>IF(A570="","",(Inputs!$C$3*Inputs!$C$2)/Inputs!$C$4)</f>
        <v/>
      </c>
      <c r="D570" s="18" t="str">
        <f>IF(A570 = MAX($A$2:A1000), Inputs!$C$2, "")</f>
        <v/>
      </c>
      <c r="E570" s="18" t="str">
        <f t="shared" si="1"/>
        <v/>
      </c>
    </row>
    <row r="571">
      <c r="B571" s="18" t="str">
        <f>IF(A571="","",A571/Inputs!$C$4)</f>
        <v/>
      </c>
      <c r="C571" s="18" t="str">
        <f>IF(A571="","",(Inputs!$C$3*Inputs!$C$2)/Inputs!$C$4)</f>
        <v/>
      </c>
      <c r="D571" s="18" t="str">
        <f>IF(A571 = MAX($A$2:A1000), Inputs!$C$2, "")</f>
        <v/>
      </c>
      <c r="E571" s="18" t="str">
        <f t="shared" si="1"/>
        <v/>
      </c>
    </row>
    <row r="572">
      <c r="B572" s="18" t="str">
        <f>IF(A572="","",A572/Inputs!$C$4)</f>
        <v/>
      </c>
      <c r="C572" s="18" t="str">
        <f>IF(A572="","",(Inputs!$C$3*Inputs!$C$2)/Inputs!$C$4)</f>
        <v/>
      </c>
      <c r="D572" s="18" t="str">
        <f>IF(A572 = MAX($A$2:A1000), Inputs!$C$2, "")</f>
        <v/>
      </c>
      <c r="E572" s="18" t="str">
        <f t="shared" si="1"/>
        <v/>
      </c>
    </row>
    <row r="573">
      <c r="B573" s="18" t="str">
        <f>IF(A573="","",A573/Inputs!$C$4)</f>
        <v/>
      </c>
      <c r="C573" s="18" t="str">
        <f>IF(A573="","",(Inputs!$C$3*Inputs!$C$2)/Inputs!$C$4)</f>
        <v/>
      </c>
      <c r="D573" s="18" t="str">
        <f>IF(A573 = MAX($A$2:A1000), Inputs!$C$2, "")</f>
        <v/>
      </c>
      <c r="E573" s="18" t="str">
        <f t="shared" si="1"/>
        <v/>
      </c>
    </row>
    <row r="574">
      <c r="B574" s="18" t="str">
        <f>IF(A574="","",A574/Inputs!$C$4)</f>
        <v/>
      </c>
      <c r="C574" s="18" t="str">
        <f>IF(A574="","",(Inputs!$C$3*Inputs!$C$2)/Inputs!$C$4)</f>
        <v/>
      </c>
      <c r="D574" s="18" t="str">
        <f>IF(A574 = MAX($A$2:A1000), Inputs!$C$2, "")</f>
        <v/>
      </c>
      <c r="E574" s="18" t="str">
        <f t="shared" si="1"/>
        <v/>
      </c>
    </row>
    <row r="575">
      <c r="B575" s="18" t="str">
        <f>IF(A575="","",A575/Inputs!$C$4)</f>
        <v/>
      </c>
      <c r="C575" s="18" t="str">
        <f>IF(A575="","",(Inputs!$C$3*Inputs!$C$2)/Inputs!$C$4)</f>
        <v/>
      </c>
      <c r="D575" s="18" t="str">
        <f>IF(A575 = MAX($A$2:A1000), Inputs!$C$2, "")</f>
        <v/>
      </c>
      <c r="E575" s="18" t="str">
        <f t="shared" si="1"/>
        <v/>
      </c>
    </row>
    <row r="576">
      <c r="B576" s="18" t="str">
        <f>IF(A576="","",A576/Inputs!$C$4)</f>
        <v/>
      </c>
      <c r="C576" s="18" t="str">
        <f>IF(A576="","",(Inputs!$C$3*Inputs!$C$2)/Inputs!$C$4)</f>
        <v/>
      </c>
      <c r="D576" s="18" t="str">
        <f>IF(A576 = MAX($A$2:A1000), Inputs!$C$2, "")</f>
        <v/>
      </c>
      <c r="E576" s="18" t="str">
        <f t="shared" si="1"/>
        <v/>
      </c>
    </row>
    <row r="577">
      <c r="B577" s="18" t="str">
        <f>IF(A577="","",A577/Inputs!$C$4)</f>
        <v/>
      </c>
      <c r="C577" s="18" t="str">
        <f>IF(A577="","",(Inputs!$C$3*Inputs!$C$2)/Inputs!$C$4)</f>
        <v/>
      </c>
      <c r="D577" s="18" t="str">
        <f>IF(A577 = MAX($A$2:A1000), Inputs!$C$2, "")</f>
        <v/>
      </c>
      <c r="E577" s="18" t="str">
        <f t="shared" si="1"/>
        <v/>
      </c>
    </row>
    <row r="578">
      <c r="B578" s="18" t="str">
        <f>IF(A578="","",A578/Inputs!$C$4)</f>
        <v/>
      </c>
      <c r="C578" s="18" t="str">
        <f>IF(A578="","",(Inputs!$C$3*Inputs!$C$2)/Inputs!$C$4)</f>
        <v/>
      </c>
      <c r="D578" s="18" t="str">
        <f>IF(A578 = MAX($A$2:A1000), Inputs!$C$2, "")</f>
        <v/>
      </c>
      <c r="E578" s="18" t="str">
        <f t="shared" si="1"/>
        <v/>
      </c>
    </row>
    <row r="579">
      <c r="B579" s="18" t="str">
        <f>IF(A579="","",A579/Inputs!$C$4)</f>
        <v/>
      </c>
      <c r="C579" s="18" t="str">
        <f>IF(A579="","",(Inputs!$C$3*Inputs!$C$2)/Inputs!$C$4)</f>
        <v/>
      </c>
      <c r="D579" s="18" t="str">
        <f>IF(A579 = MAX($A$2:A1000), Inputs!$C$2, "")</f>
        <v/>
      </c>
      <c r="E579" s="18" t="str">
        <f t="shared" si="1"/>
        <v/>
      </c>
    </row>
    <row r="580">
      <c r="B580" s="18" t="str">
        <f>IF(A580="","",A580/Inputs!$C$4)</f>
        <v/>
      </c>
      <c r="C580" s="18" t="str">
        <f>IF(A580="","",(Inputs!$C$3*Inputs!$C$2)/Inputs!$C$4)</f>
        <v/>
      </c>
      <c r="D580" s="18" t="str">
        <f>IF(A580 = MAX($A$2:A1000), Inputs!$C$2, "")</f>
        <v/>
      </c>
      <c r="E580" s="18" t="str">
        <f t="shared" si="1"/>
        <v/>
      </c>
    </row>
    <row r="581">
      <c r="B581" s="18" t="str">
        <f>IF(A581="","",A581/Inputs!$C$4)</f>
        <v/>
      </c>
      <c r="C581" s="18" t="str">
        <f>IF(A581="","",(Inputs!$C$3*Inputs!$C$2)/Inputs!$C$4)</f>
        <v/>
      </c>
      <c r="D581" s="18" t="str">
        <f>IF(A581 = MAX($A$2:A1000), Inputs!$C$2, "")</f>
        <v/>
      </c>
      <c r="E581" s="18" t="str">
        <f t="shared" si="1"/>
        <v/>
      </c>
    </row>
    <row r="582">
      <c r="B582" s="18" t="str">
        <f>IF(A582="","",A582/Inputs!$C$4)</f>
        <v/>
      </c>
      <c r="C582" s="18" t="str">
        <f>IF(A582="","",(Inputs!$C$3*Inputs!$C$2)/Inputs!$C$4)</f>
        <v/>
      </c>
      <c r="D582" s="18" t="str">
        <f>IF(A582 = MAX($A$2:A1000), Inputs!$C$2, "")</f>
        <v/>
      </c>
      <c r="E582" s="18" t="str">
        <f t="shared" si="1"/>
        <v/>
      </c>
    </row>
    <row r="583">
      <c r="B583" s="18" t="str">
        <f>IF(A583="","",A583/Inputs!$C$4)</f>
        <v/>
      </c>
      <c r="C583" s="18" t="str">
        <f>IF(A583="","",(Inputs!$C$3*Inputs!$C$2)/Inputs!$C$4)</f>
        <v/>
      </c>
      <c r="D583" s="18" t="str">
        <f>IF(A583 = MAX($A$2:A1000), Inputs!$C$2, "")</f>
        <v/>
      </c>
      <c r="E583" s="18" t="str">
        <f t="shared" si="1"/>
        <v/>
      </c>
    </row>
    <row r="584">
      <c r="B584" s="18" t="str">
        <f>IF(A584="","",A584/Inputs!$C$4)</f>
        <v/>
      </c>
      <c r="C584" s="18" t="str">
        <f>IF(A584="","",(Inputs!$C$3*Inputs!$C$2)/Inputs!$C$4)</f>
        <v/>
      </c>
      <c r="D584" s="18" t="str">
        <f>IF(A584 = MAX($A$2:A1000), Inputs!$C$2, "")</f>
        <v/>
      </c>
      <c r="E584" s="18" t="str">
        <f t="shared" si="1"/>
        <v/>
      </c>
    </row>
    <row r="585">
      <c r="B585" s="18" t="str">
        <f>IF(A585="","",A585/Inputs!$C$4)</f>
        <v/>
      </c>
      <c r="C585" s="18" t="str">
        <f>IF(A585="","",(Inputs!$C$3*Inputs!$C$2)/Inputs!$C$4)</f>
        <v/>
      </c>
      <c r="D585" s="18" t="str">
        <f>IF(A585 = MAX($A$2:A1000), Inputs!$C$2, "")</f>
        <v/>
      </c>
      <c r="E585" s="18" t="str">
        <f t="shared" si="1"/>
        <v/>
      </c>
    </row>
    <row r="586">
      <c r="B586" s="18" t="str">
        <f>IF(A586="","",A586/Inputs!$C$4)</f>
        <v/>
      </c>
      <c r="C586" s="18" t="str">
        <f>IF(A586="","",(Inputs!$C$3*Inputs!$C$2)/Inputs!$C$4)</f>
        <v/>
      </c>
      <c r="D586" s="18" t="str">
        <f>IF(A586 = MAX($A$2:A1000), Inputs!$C$2, "")</f>
        <v/>
      </c>
      <c r="E586" s="18" t="str">
        <f t="shared" si="1"/>
        <v/>
      </c>
    </row>
    <row r="587">
      <c r="B587" s="18" t="str">
        <f>IF(A587="","",A587/Inputs!$C$4)</f>
        <v/>
      </c>
      <c r="C587" s="18" t="str">
        <f>IF(A587="","",(Inputs!$C$3*Inputs!$C$2)/Inputs!$C$4)</f>
        <v/>
      </c>
      <c r="D587" s="18" t="str">
        <f>IF(A587 = MAX($A$2:A1000), Inputs!$C$2, "")</f>
        <v/>
      </c>
      <c r="E587" s="18" t="str">
        <f t="shared" si="1"/>
        <v/>
      </c>
    </row>
    <row r="588">
      <c r="B588" s="18" t="str">
        <f>IF(A588="","",A588/Inputs!$C$4)</f>
        <v/>
      </c>
      <c r="C588" s="18" t="str">
        <f>IF(A588="","",(Inputs!$C$3*Inputs!$C$2)/Inputs!$C$4)</f>
        <v/>
      </c>
      <c r="D588" s="18" t="str">
        <f>IF(A588 = MAX($A$2:A1000), Inputs!$C$2, "")</f>
        <v/>
      </c>
      <c r="E588" s="18" t="str">
        <f t="shared" si="1"/>
        <v/>
      </c>
    </row>
    <row r="589">
      <c r="B589" s="18" t="str">
        <f>IF(A589="","",A589/Inputs!$C$4)</f>
        <v/>
      </c>
      <c r="C589" s="18" t="str">
        <f>IF(A589="","",(Inputs!$C$3*Inputs!$C$2)/Inputs!$C$4)</f>
        <v/>
      </c>
      <c r="D589" s="18" t="str">
        <f>IF(A589 = MAX($A$2:A1000), Inputs!$C$2, "")</f>
        <v/>
      </c>
      <c r="E589" s="18" t="str">
        <f t="shared" si="1"/>
        <v/>
      </c>
    </row>
    <row r="590">
      <c r="B590" s="18" t="str">
        <f>IF(A590="","",A590/Inputs!$C$4)</f>
        <v/>
      </c>
      <c r="C590" s="18" t="str">
        <f>IF(A590="","",(Inputs!$C$3*Inputs!$C$2)/Inputs!$C$4)</f>
        <v/>
      </c>
      <c r="D590" s="18" t="str">
        <f>IF(A590 = MAX($A$2:A1000), Inputs!$C$2, "")</f>
        <v/>
      </c>
      <c r="E590" s="18" t="str">
        <f t="shared" si="1"/>
        <v/>
      </c>
    </row>
    <row r="591">
      <c r="B591" s="18" t="str">
        <f>IF(A591="","",A591/Inputs!$C$4)</f>
        <v/>
      </c>
      <c r="C591" s="18" t="str">
        <f>IF(A591="","",(Inputs!$C$3*Inputs!$C$2)/Inputs!$C$4)</f>
        <v/>
      </c>
      <c r="D591" s="18" t="str">
        <f>IF(A591 = MAX($A$2:A1000), Inputs!$C$2, "")</f>
        <v/>
      </c>
      <c r="E591" s="18" t="str">
        <f t="shared" si="1"/>
        <v/>
      </c>
    </row>
    <row r="592">
      <c r="B592" s="18" t="str">
        <f>IF(A592="","",A592/Inputs!$C$4)</f>
        <v/>
      </c>
      <c r="C592" s="18" t="str">
        <f>IF(A592="","",(Inputs!$C$3*Inputs!$C$2)/Inputs!$C$4)</f>
        <v/>
      </c>
      <c r="D592" s="18" t="str">
        <f>IF(A592 = MAX($A$2:A1000), Inputs!$C$2, "")</f>
        <v/>
      </c>
      <c r="E592" s="18" t="str">
        <f t="shared" si="1"/>
        <v/>
      </c>
    </row>
    <row r="593">
      <c r="B593" s="18" t="str">
        <f>IF(A593="","",A593/Inputs!$C$4)</f>
        <v/>
      </c>
      <c r="C593" s="18" t="str">
        <f>IF(A593="","",(Inputs!$C$3*Inputs!$C$2)/Inputs!$C$4)</f>
        <v/>
      </c>
      <c r="D593" s="18" t="str">
        <f>IF(A593 = MAX($A$2:A1000), Inputs!$C$2, "")</f>
        <v/>
      </c>
      <c r="E593" s="18" t="str">
        <f t="shared" si="1"/>
        <v/>
      </c>
    </row>
    <row r="594">
      <c r="B594" s="18" t="str">
        <f>IF(A594="","",A594/Inputs!$C$4)</f>
        <v/>
      </c>
      <c r="C594" s="18" t="str">
        <f>IF(A594="","",(Inputs!$C$3*Inputs!$C$2)/Inputs!$C$4)</f>
        <v/>
      </c>
      <c r="D594" s="18" t="str">
        <f>IF(A594 = MAX($A$2:A1000), Inputs!$C$2, "")</f>
        <v/>
      </c>
      <c r="E594" s="18" t="str">
        <f t="shared" si="1"/>
        <v/>
      </c>
    </row>
    <row r="595">
      <c r="B595" s="18" t="str">
        <f>IF(A595="","",A595/Inputs!$C$4)</f>
        <v/>
      </c>
      <c r="C595" s="18" t="str">
        <f>IF(A595="","",(Inputs!$C$3*Inputs!$C$2)/Inputs!$C$4)</f>
        <v/>
      </c>
      <c r="D595" s="18" t="str">
        <f>IF(A595 = MAX($A$2:A1000), Inputs!$C$2, "")</f>
        <v/>
      </c>
      <c r="E595" s="18" t="str">
        <f t="shared" si="1"/>
        <v/>
      </c>
    </row>
    <row r="596">
      <c r="B596" s="18" t="str">
        <f>IF(A596="","",A596/Inputs!$C$4)</f>
        <v/>
      </c>
      <c r="C596" s="18" t="str">
        <f>IF(A596="","",(Inputs!$C$3*Inputs!$C$2)/Inputs!$C$4)</f>
        <v/>
      </c>
      <c r="D596" s="18" t="str">
        <f>IF(A596 = MAX($A$2:A1000), Inputs!$C$2, "")</f>
        <v/>
      </c>
      <c r="E596" s="18" t="str">
        <f t="shared" si="1"/>
        <v/>
      </c>
    </row>
    <row r="597">
      <c r="B597" s="18" t="str">
        <f>IF(A597="","",A597/Inputs!$C$4)</f>
        <v/>
      </c>
      <c r="C597" s="18" t="str">
        <f>IF(A597="","",(Inputs!$C$3*Inputs!$C$2)/Inputs!$C$4)</f>
        <v/>
      </c>
      <c r="D597" s="18" t="str">
        <f>IF(A597 = MAX($A$2:A1000), Inputs!$C$2, "")</f>
        <v/>
      </c>
      <c r="E597" s="18" t="str">
        <f t="shared" si="1"/>
        <v/>
      </c>
    </row>
    <row r="598">
      <c r="B598" s="18" t="str">
        <f>IF(A598="","",A598/Inputs!$C$4)</f>
        <v/>
      </c>
      <c r="C598" s="18" t="str">
        <f>IF(A598="","",(Inputs!$C$3*Inputs!$C$2)/Inputs!$C$4)</f>
        <v/>
      </c>
      <c r="D598" s="18" t="str">
        <f>IF(A598 = MAX($A$2:A1000), Inputs!$C$2, "")</f>
        <v/>
      </c>
      <c r="E598" s="18" t="str">
        <f t="shared" si="1"/>
        <v/>
      </c>
    </row>
    <row r="599">
      <c r="B599" s="18" t="str">
        <f>IF(A599="","",A599/Inputs!$C$4)</f>
        <v/>
      </c>
      <c r="C599" s="18" t="str">
        <f>IF(A599="","",(Inputs!$C$3*Inputs!$C$2)/Inputs!$C$4)</f>
        <v/>
      </c>
      <c r="D599" s="18" t="str">
        <f>IF(A599 = MAX($A$2:A1000), Inputs!$C$2, "")</f>
        <v/>
      </c>
      <c r="E599" s="18" t="str">
        <f t="shared" si="1"/>
        <v/>
      </c>
    </row>
    <row r="600">
      <c r="B600" s="18" t="str">
        <f>IF(A600="","",A600/Inputs!$C$4)</f>
        <v/>
      </c>
      <c r="C600" s="18" t="str">
        <f>IF(A600="","",(Inputs!$C$3*Inputs!$C$2)/Inputs!$C$4)</f>
        <v/>
      </c>
      <c r="D600" s="18" t="str">
        <f>IF(A600 = MAX($A$2:A1000), Inputs!$C$2, "")</f>
        <v/>
      </c>
      <c r="E600" s="18" t="str">
        <f t="shared" si="1"/>
        <v/>
      </c>
    </row>
    <row r="601">
      <c r="B601" s="18" t="str">
        <f>IF(A601="","",A601/Inputs!$C$4)</f>
        <v/>
      </c>
      <c r="C601" s="18" t="str">
        <f>IF(A601="","",(Inputs!$C$3*Inputs!$C$2)/Inputs!$C$4)</f>
        <v/>
      </c>
      <c r="D601" s="18" t="str">
        <f>IF(A601 = MAX($A$2:A1000), Inputs!$C$2, "")</f>
        <v/>
      </c>
      <c r="E601" s="18" t="str">
        <f t="shared" si="1"/>
        <v/>
      </c>
    </row>
    <row r="602">
      <c r="B602" s="18" t="str">
        <f>IF(A602="","",A602/Inputs!$C$4)</f>
        <v/>
      </c>
      <c r="C602" s="18" t="str">
        <f>IF(A602="","",(Inputs!$C$3*Inputs!$C$2)/Inputs!$C$4)</f>
        <v/>
      </c>
      <c r="D602" s="18" t="str">
        <f>IF(A602 = MAX($A$2:A1000), Inputs!$C$2, "")</f>
        <v/>
      </c>
      <c r="E602" s="18" t="str">
        <f t="shared" si="1"/>
        <v/>
      </c>
    </row>
    <row r="603">
      <c r="B603" s="18" t="str">
        <f>IF(A603="","",A603/Inputs!$C$4)</f>
        <v/>
      </c>
      <c r="C603" s="18" t="str">
        <f>IF(A603="","",(Inputs!$C$3*Inputs!$C$2)/Inputs!$C$4)</f>
        <v/>
      </c>
      <c r="D603" s="18" t="str">
        <f>IF(A603 = MAX($A$2:A1000), Inputs!$C$2, "")</f>
        <v/>
      </c>
      <c r="E603" s="18" t="str">
        <f t="shared" si="1"/>
        <v/>
      </c>
    </row>
    <row r="604">
      <c r="B604" s="18" t="str">
        <f>IF(A604="","",A604/Inputs!$C$4)</f>
        <v/>
      </c>
      <c r="C604" s="18" t="str">
        <f>IF(A604="","",(Inputs!$C$3*Inputs!$C$2)/Inputs!$C$4)</f>
        <v/>
      </c>
      <c r="D604" s="18" t="str">
        <f>IF(A604 = MAX($A$2:A1000), Inputs!$C$2, "")</f>
        <v/>
      </c>
      <c r="E604" s="18" t="str">
        <f t="shared" si="1"/>
        <v/>
      </c>
    </row>
    <row r="605">
      <c r="B605" s="18" t="str">
        <f>IF(A605="","",A605/Inputs!$C$4)</f>
        <v/>
      </c>
      <c r="C605" s="18" t="str">
        <f>IF(A605="","",(Inputs!$C$3*Inputs!$C$2)/Inputs!$C$4)</f>
        <v/>
      </c>
      <c r="D605" s="18" t="str">
        <f>IF(A605 = MAX($A$2:A1000), Inputs!$C$2, "")</f>
        <v/>
      </c>
      <c r="E605" s="18" t="str">
        <f t="shared" si="1"/>
        <v/>
      </c>
    </row>
    <row r="606">
      <c r="B606" s="18" t="str">
        <f>IF(A606="","",A606/Inputs!$C$4)</f>
        <v/>
      </c>
      <c r="C606" s="18" t="str">
        <f>IF(A606="","",(Inputs!$C$3*Inputs!$C$2)/Inputs!$C$4)</f>
        <v/>
      </c>
      <c r="D606" s="18" t="str">
        <f>IF(A606 = MAX($A$2:A1000), Inputs!$C$2, "")</f>
        <v/>
      </c>
      <c r="E606" s="18" t="str">
        <f t="shared" si="1"/>
        <v/>
      </c>
    </row>
    <row r="607">
      <c r="B607" s="18" t="str">
        <f>IF(A607="","",A607/Inputs!$C$4)</f>
        <v/>
      </c>
      <c r="C607" s="18" t="str">
        <f>IF(A607="","",(Inputs!$C$3*Inputs!$C$2)/Inputs!$C$4)</f>
        <v/>
      </c>
      <c r="D607" s="18" t="str">
        <f>IF(A607 = MAX($A$2:A1000), Inputs!$C$2, "")</f>
        <v/>
      </c>
      <c r="E607" s="18" t="str">
        <f t="shared" si="1"/>
        <v/>
      </c>
    </row>
    <row r="608">
      <c r="B608" s="18" t="str">
        <f>IF(A608="","",A608/Inputs!$C$4)</f>
        <v/>
      </c>
      <c r="C608" s="18" t="str">
        <f>IF(A608="","",(Inputs!$C$3*Inputs!$C$2)/Inputs!$C$4)</f>
        <v/>
      </c>
      <c r="D608" s="18" t="str">
        <f>IF(A608 = MAX($A$2:A1000), Inputs!$C$2, "")</f>
        <v/>
      </c>
      <c r="E608" s="18" t="str">
        <f t="shared" si="1"/>
        <v/>
      </c>
    </row>
    <row r="609">
      <c r="B609" s="18" t="str">
        <f>IF(A609="","",A609/Inputs!$C$4)</f>
        <v/>
      </c>
      <c r="C609" s="18" t="str">
        <f>IF(A609="","",(Inputs!$C$3*Inputs!$C$2)/Inputs!$C$4)</f>
        <v/>
      </c>
      <c r="D609" s="18" t="str">
        <f>IF(A609 = MAX($A$2:A1000), Inputs!$C$2, "")</f>
        <v/>
      </c>
      <c r="E609" s="18" t="str">
        <f t="shared" si="1"/>
        <v/>
      </c>
    </row>
    <row r="610">
      <c r="B610" s="18" t="str">
        <f>IF(A610="","",A610/Inputs!$C$4)</f>
        <v/>
      </c>
      <c r="C610" s="18" t="str">
        <f>IF(A610="","",(Inputs!$C$3*Inputs!$C$2)/Inputs!$C$4)</f>
        <v/>
      </c>
      <c r="D610" s="18" t="str">
        <f>IF(A610 = MAX($A$2:A1000), Inputs!$C$2, "")</f>
        <v/>
      </c>
      <c r="E610" s="18" t="str">
        <f t="shared" si="1"/>
        <v/>
      </c>
    </row>
    <row r="611">
      <c r="B611" s="18" t="str">
        <f>IF(A611="","",A611/Inputs!$C$4)</f>
        <v/>
      </c>
      <c r="C611" s="18" t="str">
        <f>IF(A611="","",(Inputs!$C$3*Inputs!$C$2)/Inputs!$C$4)</f>
        <v/>
      </c>
      <c r="D611" s="18" t="str">
        <f>IF(A611 = MAX($A$2:A1000), Inputs!$C$2, "")</f>
        <v/>
      </c>
      <c r="E611" s="18" t="str">
        <f t="shared" si="1"/>
        <v/>
      </c>
    </row>
    <row r="612">
      <c r="B612" s="18" t="str">
        <f>IF(A612="","",A612/Inputs!$C$4)</f>
        <v/>
      </c>
      <c r="C612" s="18" t="str">
        <f>IF(A612="","",(Inputs!$C$3*Inputs!$C$2)/Inputs!$C$4)</f>
        <v/>
      </c>
      <c r="D612" s="18" t="str">
        <f>IF(A612 = MAX($A$2:A1000), Inputs!$C$2, "")</f>
        <v/>
      </c>
      <c r="E612" s="18" t="str">
        <f t="shared" si="1"/>
        <v/>
      </c>
    </row>
    <row r="613">
      <c r="B613" s="18" t="str">
        <f>IF(A613="","",A613/Inputs!$C$4)</f>
        <v/>
      </c>
      <c r="C613" s="18" t="str">
        <f>IF(A613="","",(Inputs!$C$3*Inputs!$C$2)/Inputs!$C$4)</f>
        <v/>
      </c>
      <c r="D613" s="18" t="str">
        <f>IF(A613 = MAX($A$2:A1000), Inputs!$C$2, "")</f>
        <v/>
      </c>
      <c r="E613" s="18" t="str">
        <f t="shared" si="1"/>
        <v/>
      </c>
    </row>
    <row r="614">
      <c r="B614" s="18" t="str">
        <f>IF(A614="","",A614/Inputs!$C$4)</f>
        <v/>
      </c>
      <c r="C614" s="18" t="str">
        <f>IF(A614="","",(Inputs!$C$3*Inputs!$C$2)/Inputs!$C$4)</f>
        <v/>
      </c>
      <c r="D614" s="18" t="str">
        <f>IF(A614 = MAX($A$2:A1000), Inputs!$C$2, "")</f>
        <v/>
      </c>
      <c r="E614" s="18" t="str">
        <f t="shared" si="1"/>
        <v/>
      </c>
    </row>
    <row r="615">
      <c r="B615" s="18" t="str">
        <f>IF(A615="","",A615/Inputs!$C$4)</f>
        <v/>
      </c>
      <c r="C615" s="18" t="str">
        <f>IF(A615="","",(Inputs!$C$3*Inputs!$C$2)/Inputs!$C$4)</f>
        <v/>
      </c>
      <c r="D615" s="18" t="str">
        <f>IF(A615 = MAX($A$2:A1000), Inputs!$C$2, "")</f>
        <v/>
      </c>
      <c r="E615" s="18" t="str">
        <f t="shared" si="1"/>
        <v/>
      </c>
    </row>
    <row r="616">
      <c r="B616" s="18" t="str">
        <f>IF(A616="","",A616/Inputs!$C$4)</f>
        <v/>
      </c>
      <c r="C616" s="18" t="str">
        <f>IF(A616="","",(Inputs!$C$3*Inputs!$C$2)/Inputs!$C$4)</f>
        <v/>
      </c>
      <c r="D616" s="18" t="str">
        <f>IF(A616 = MAX($A$2:A1000), Inputs!$C$2, "")</f>
        <v/>
      </c>
      <c r="E616" s="18" t="str">
        <f t="shared" si="1"/>
        <v/>
      </c>
    </row>
    <row r="617">
      <c r="B617" s="18" t="str">
        <f>IF(A617="","",A617/Inputs!$C$4)</f>
        <v/>
      </c>
      <c r="C617" s="18" t="str">
        <f>IF(A617="","",(Inputs!$C$3*Inputs!$C$2)/Inputs!$C$4)</f>
        <v/>
      </c>
      <c r="D617" s="18" t="str">
        <f>IF(A617 = MAX($A$2:A1000), Inputs!$C$2, "")</f>
        <v/>
      </c>
      <c r="E617" s="18" t="str">
        <f t="shared" si="1"/>
        <v/>
      </c>
    </row>
    <row r="618">
      <c r="B618" s="18" t="str">
        <f>IF(A618="","",A618/Inputs!$C$4)</f>
        <v/>
      </c>
      <c r="C618" s="18" t="str">
        <f>IF(A618="","",(Inputs!$C$3*Inputs!$C$2)/Inputs!$C$4)</f>
        <v/>
      </c>
      <c r="D618" s="18" t="str">
        <f>IF(A618 = MAX($A$2:A1000), Inputs!$C$2, "")</f>
        <v/>
      </c>
      <c r="E618" s="18" t="str">
        <f t="shared" si="1"/>
        <v/>
      </c>
    </row>
    <row r="619">
      <c r="B619" s="18" t="str">
        <f>IF(A619="","",A619/Inputs!$C$4)</f>
        <v/>
      </c>
      <c r="C619" s="18" t="str">
        <f>IF(A619="","",(Inputs!$C$3*Inputs!$C$2)/Inputs!$C$4)</f>
        <v/>
      </c>
      <c r="D619" s="18" t="str">
        <f>IF(A619 = MAX($A$2:A1000), Inputs!$C$2, "")</f>
        <v/>
      </c>
      <c r="E619" s="18" t="str">
        <f t="shared" si="1"/>
        <v/>
      </c>
    </row>
    <row r="620">
      <c r="B620" s="18" t="str">
        <f>IF(A620="","",A620/Inputs!$C$4)</f>
        <v/>
      </c>
      <c r="C620" s="18" t="str">
        <f>IF(A620="","",(Inputs!$C$3*Inputs!$C$2)/Inputs!$C$4)</f>
        <v/>
      </c>
      <c r="D620" s="18" t="str">
        <f>IF(A620 = MAX($A$2:A1000), Inputs!$C$2, "")</f>
        <v/>
      </c>
      <c r="E620" s="18" t="str">
        <f t="shared" si="1"/>
        <v/>
      </c>
    </row>
    <row r="621">
      <c r="B621" s="18" t="str">
        <f>IF(A621="","",A621/Inputs!$C$4)</f>
        <v/>
      </c>
      <c r="C621" s="18" t="str">
        <f>IF(A621="","",(Inputs!$C$3*Inputs!$C$2)/Inputs!$C$4)</f>
        <v/>
      </c>
      <c r="D621" s="18" t="str">
        <f>IF(A621 = MAX($A$2:A1000), Inputs!$C$2, "")</f>
        <v/>
      </c>
      <c r="E621" s="18" t="str">
        <f t="shared" si="1"/>
        <v/>
      </c>
    </row>
    <row r="622">
      <c r="B622" s="18" t="str">
        <f>IF(A622="","",A622/Inputs!$C$4)</f>
        <v/>
      </c>
      <c r="C622" s="18" t="str">
        <f>IF(A622="","",(Inputs!$C$3*Inputs!$C$2)/Inputs!$C$4)</f>
        <v/>
      </c>
      <c r="D622" s="18" t="str">
        <f>IF(A622 = MAX($A$2:A1000), Inputs!$C$2, "")</f>
        <v/>
      </c>
      <c r="E622" s="18" t="str">
        <f t="shared" si="1"/>
        <v/>
      </c>
    </row>
    <row r="623">
      <c r="B623" s="18" t="str">
        <f>IF(A623="","",A623/Inputs!$C$4)</f>
        <v/>
      </c>
      <c r="C623" s="18" t="str">
        <f>IF(A623="","",(Inputs!$C$3*Inputs!$C$2)/Inputs!$C$4)</f>
        <v/>
      </c>
      <c r="D623" s="18" t="str">
        <f>IF(A623 = MAX($A$2:A1000), Inputs!$C$2, "")</f>
        <v/>
      </c>
      <c r="E623" s="18" t="str">
        <f t="shared" si="1"/>
        <v/>
      </c>
    </row>
    <row r="624">
      <c r="B624" s="18" t="str">
        <f>IF(A624="","",A624/Inputs!$C$4)</f>
        <v/>
      </c>
      <c r="C624" s="18" t="str">
        <f>IF(A624="","",(Inputs!$C$3*Inputs!$C$2)/Inputs!$C$4)</f>
        <v/>
      </c>
      <c r="D624" s="18" t="str">
        <f>IF(A624 = MAX($A$2:A1000), Inputs!$C$2, "")</f>
        <v/>
      </c>
      <c r="E624" s="18" t="str">
        <f t="shared" si="1"/>
        <v/>
      </c>
    </row>
    <row r="625">
      <c r="B625" s="18" t="str">
        <f>IF(A625="","",A625/Inputs!$C$4)</f>
        <v/>
      </c>
      <c r="C625" s="18" t="str">
        <f>IF(A625="","",(Inputs!$C$3*Inputs!$C$2)/Inputs!$C$4)</f>
        <v/>
      </c>
      <c r="D625" s="18" t="str">
        <f>IF(A625 = MAX($A$2:A1000), Inputs!$C$2, "")</f>
        <v/>
      </c>
      <c r="E625" s="18" t="str">
        <f t="shared" si="1"/>
        <v/>
      </c>
    </row>
    <row r="626">
      <c r="B626" s="18" t="str">
        <f>IF(A626="","",A626/Inputs!$C$4)</f>
        <v/>
      </c>
      <c r="C626" s="18" t="str">
        <f>IF(A626="","",(Inputs!$C$3*Inputs!$C$2)/Inputs!$C$4)</f>
        <v/>
      </c>
      <c r="D626" s="18" t="str">
        <f>IF(A626 = MAX($A$2:A1000), Inputs!$C$2, "")</f>
        <v/>
      </c>
      <c r="E626" s="18" t="str">
        <f t="shared" si="1"/>
        <v/>
      </c>
    </row>
    <row r="627">
      <c r="B627" s="18" t="str">
        <f>IF(A627="","",A627/Inputs!$C$4)</f>
        <v/>
      </c>
      <c r="C627" s="18" t="str">
        <f>IF(A627="","",(Inputs!$C$3*Inputs!$C$2)/Inputs!$C$4)</f>
        <v/>
      </c>
      <c r="D627" s="18" t="str">
        <f>IF(A627 = MAX($A$2:A1000), Inputs!$C$2, "")</f>
        <v/>
      </c>
      <c r="E627" s="18" t="str">
        <f t="shared" si="1"/>
        <v/>
      </c>
    </row>
    <row r="628">
      <c r="B628" s="18" t="str">
        <f>IF(A628="","",A628/Inputs!$C$4)</f>
        <v/>
      </c>
      <c r="C628" s="18" t="str">
        <f>IF(A628="","",(Inputs!$C$3*Inputs!$C$2)/Inputs!$C$4)</f>
        <v/>
      </c>
      <c r="D628" s="18" t="str">
        <f>IF(A628 = MAX($A$2:A1000), Inputs!$C$2, "")</f>
        <v/>
      </c>
      <c r="E628" s="18" t="str">
        <f t="shared" si="1"/>
        <v/>
      </c>
    </row>
    <row r="629">
      <c r="B629" s="18" t="str">
        <f>IF(A629="","",A629/Inputs!$C$4)</f>
        <v/>
      </c>
      <c r="C629" s="18" t="str">
        <f>IF(A629="","",(Inputs!$C$3*Inputs!$C$2)/Inputs!$C$4)</f>
        <v/>
      </c>
      <c r="D629" s="18" t="str">
        <f>IF(A629 = MAX($A$2:A1000), Inputs!$C$2, "")</f>
        <v/>
      </c>
      <c r="E629" s="18" t="str">
        <f t="shared" si="1"/>
        <v/>
      </c>
    </row>
    <row r="630">
      <c r="B630" s="18" t="str">
        <f>IF(A630="","",A630/Inputs!$C$4)</f>
        <v/>
      </c>
      <c r="C630" s="18" t="str">
        <f>IF(A630="","",(Inputs!$C$3*Inputs!$C$2)/Inputs!$C$4)</f>
        <v/>
      </c>
      <c r="D630" s="18" t="str">
        <f>IF(A630 = MAX($A$2:A1000), Inputs!$C$2, "")</f>
        <v/>
      </c>
      <c r="E630" s="18" t="str">
        <f t="shared" si="1"/>
        <v/>
      </c>
    </row>
    <row r="631">
      <c r="B631" s="18" t="str">
        <f>IF(A631="","",A631/Inputs!$C$4)</f>
        <v/>
      </c>
      <c r="C631" s="18" t="str">
        <f>IF(A631="","",(Inputs!$C$3*Inputs!$C$2)/Inputs!$C$4)</f>
        <v/>
      </c>
      <c r="D631" s="18" t="str">
        <f>IF(A631 = MAX($A$2:A1000), Inputs!$C$2, "")</f>
        <v/>
      </c>
      <c r="E631" s="18" t="str">
        <f t="shared" si="1"/>
        <v/>
      </c>
    </row>
    <row r="632">
      <c r="B632" s="18" t="str">
        <f>IF(A632="","",A632/Inputs!$C$4)</f>
        <v/>
      </c>
      <c r="C632" s="18" t="str">
        <f>IF(A632="","",(Inputs!$C$3*Inputs!$C$2)/Inputs!$C$4)</f>
        <v/>
      </c>
      <c r="D632" s="18" t="str">
        <f>IF(A632 = MAX($A$2:A1000), Inputs!$C$2, "")</f>
        <v/>
      </c>
      <c r="E632" s="18" t="str">
        <f t="shared" si="1"/>
        <v/>
      </c>
    </row>
    <row r="633">
      <c r="B633" s="18" t="str">
        <f>IF(A633="","",A633/Inputs!$C$4)</f>
        <v/>
      </c>
      <c r="C633" s="18" t="str">
        <f>IF(A633="","",(Inputs!$C$3*Inputs!$C$2)/Inputs!$C$4)</f>
        <v/>
      </c>
      <c r="D633" s="18" t="str">
        <f>IF(A633 = MAX($A$2:A1000), Inputs!$C$2, "")</f>
        <v/>
      </c>
      <c r="E633" s="18" t="str">
        <f t="shared" si="1"/>
        <v/>
      </c>
    </row>
    <row r="634">
      <c r="B634" s="18" t="str">
        <f>IF(A634="","",A634/Inputs!$C$4)</f>
        <v/>
      </c>
      <c r="C634" s="18" t="str">
        <f>IF(A634="","",(Inputs!$C$3*Inputs!$C$2)/Inputs!$C$4)</f>
        <v/>
      </c>
      <c r="D634" s="18" t="str">
        <f>IF(A634 = MAX($A$2:A1000), Inputs!$C$2, "")</f>
        <v/>
      </c>
      <c r="E634" s="18" t="str">
        <f t="shared" si="1"/>
        <v/>
      </c>
    </row>
    <row r="635">
      <c r="B635" s="18" t="str">
        <f>IF(A635="","",A635/Inputs!$C$4)</f>
        <v/>
      </c>
      <c r="C635" s="18" t="str">
        <f>IF(A635="","",(Inputs!$C$3*Inputs!$C$2)/Inputs!$C$4)</f>
        <v/>
      </c>
      <c r="D635" s="18" t="str">
        <f>IF(A635 = MAX($A$2:A1000), Inputs!$C$2, "")</f>
        <v/>
      </c>
      <c r="E635" s="18" t="str">
        <f t="shared" si="1"/>
        <v/>
      </c>
    </row>
    <row r="636">
      <c r="B636" s="18" t="str">
        <f>IF(A636="","",A636/Inputs!$C$4)</f>
        <v/>
      </c>
      <c r="C636" s="18" t="str">
        <f>IF(A636="","",(Inputs!$C$3*Inputs!$C$2)/Inputs!$C$4)</f>
        <v/>
      </c>
      <c r="D636" s="18" t="str">
        <f>IF(A636 = MAX($A$2:A1000), Inputs!$C$2, "")</f>
        <v/>
      </c>
      <c r="E636" s="18" t="str">
        <f t="shared" si="1"/>
        <v/>
      </c>
    </row>
    <row r="637">
      <c r="B637" s="18" t="str">
        <f>IF(A637="","",A637/Inputs!$C$4)</f>
        <v/>
      </c>
      <c r="C637" s="18" t="str">
        <f>IF(A637="","",(Inputs!$C$3*Inputs!$C$2)/Inputs!$C$4)</f>
        <v/>
      </c>
      <c r="D637" s="18" t="str">
        <f>IF(A637 = MAX($A$2:A1000), Inputs!$C$2, "")</f>
        <v/>
      </c>
      <c r="E637" s="18" t="str">
        <f t="shared" si="1"/>
        <v/>
      </c>
    </row>
    <row r="638">
      <c r="B638" s="18" t="str">
        <f>IF(A638="","",A638/Inputs!$C$4)</f>
        <v/>
      </c>
      <c r="C638" s="18" t="str">
        <f>IF(A638="","",(Inputs!$C$3*Inputs!$C$2)/Inputs!$C$4)</f>
        <v/>
      </c>
      <c r="D638" s="18" t="str">
        <f>IF(A638 = MAX($A$2:A1000), Inputs!$C$2, "")</f>
        <v/>
      </c>
      <c r="E638" s="18" t="str">
        <f t="shared" si="1"/>
        <v/>
      </c>
    </row>
    <row r="639">
      <c r="B639" s="18" t="str">
        <f>IF(A639="","",A639/Inputs!$C$4)</f>
        <v/>
      </c>
      <c r="C639" s="18" t="str">
        <f>IF(A639="","",(Inputs!$C$3*Inputs!$C$2)/Inputs!$C$4)</f>
        <v/>
      </c>
      <c r="D639" s="18" t="str">
        <f>IF(A639 = MAX($A$2:A1000), Inputs!$C$2, "")</f>
        <v/>
      </c>
      <c r="E639" s="18" t="str">
        <f t="shared" si="1"/>
        <v/>
      </c>
    </row>
    <row r="640">
      <c r="B640" s="18" t="str">
        <f>IF(A640="","",A640/Inputs!$C$4)</f>
        <v/>
      </c>
      <c r="C640" s="18" t="str">
        <f>IF(A640="","",(Inputs!$C$3*Inputs!$C$2)/Inputs!$C$4)</f>
        <v/>
      </c>
      <c r="D640" s="18" t="str">
        <f>IF(A640 = MAX($A$2:A1000), Inputs!$C$2, "")</f>
        <v/>
      </c>
      <c r="E640" s="18" t="str">
        <f t="shared" si="1"/>
        <v/>
      </c>
    </row>
    <row r="641">
      <c r="B641" s="18" t="str">
        <f>IF(A641="","",A641/Inputs!$C$4)</f>
        <v/>
      </c>
      <c r="C641" s="18" t="str">
        <f>IF(A641="","",(Inputs!$C$3*Inputs!$C$2)/Inputs!$C$4)</f>
        <v/>
      </c>
      <c r="D641" s="18" t="str">
        <f>IF(A641 = MAX($A$2:A1000), Inputs!$C$2, "")</f>
        <v/>
      </c>
      <c r="E641" s="18" t="str">
        <f t="shared" si="1"/>
        <v/>
      </c>
    </row>
    <row r="642">
      <c r="B642" s="18" t="str">
        <f>IF(A642="","",A642/Inputs!$C$4)</f>
        <v/>
      </c>
      <c r="C642" s="18" t="str">
        <f>IF(A642="","",(Inputs!$C$3*Inputs!$C$2)/Inputs!$C$4)</f>
        <v/>
      </c>
      <c r="D642" s="18" t="str">
        <f>IF(A642 = MAX($A$2:A1000), Inputs!$C$2, "")</f>
        <v/>
      </c>
      <c r="E642" s="18" t="str">
        <f t="shared" si="1"/>
        <v/>
      </c>
    </row>
    <row r="643">
      <c r="B643" s="18" t="str">
        <f>IF(A643="","",A643/Inputs!$C$4)</f>
        <v/>
      </c>
      <c r="C643" s="18" t="str">
        <f>IF(A643="","",(Inputs!$C$3*Inputs!$C$2)/Inputs!$C$4)</f>
        <v/>
      </c>
      <c r="D643" s="18" t="str">
        <f>IF(A643 = MAX($A$2:A1000), Inputs!$C$2, "")</f>
        <v/>
      </c>
      <c r="E643" s="18" t="str">
        <f t="shared" si="1"/>
        <v/>
      </c>
    </row>
    <row r="644">
      <c r="B644" s="18" t="str">
        <f>IF(A644="","",A644/Inputs!$C$4)</f>
        <v/>
      </c>
      <c r="C644" s="18" t="str">
        <f>IF(A644="","",(Inputs!$C$3*Inputs!$C$2)/Inputs!$C$4)</f>
        <v/>
      </c>
      <c r="D644" s="18" t="str">
        <f>IF(A644 = MAX($A$2:A1000), Inputs!$C$2, "")</f>
        <v/>
      </c>
      <c r="E644" s="18" t="str">
        <f t="shared" si="1"/>
        <v/>
      </c>
    </row>
    <row r="645">
      <c r="B645" s="18" t="str">
        <f>IF(A645="","",A645/Inputs!$C$4)</f>
        <v/>
      </c>
      <c r="C645" s="18" t="str">
        <f>IF(A645="","",(Inputs!$C$3*Inputs!$C$2)/Inputs!$C$4)</f>
        <v/>
      </c>
      <c r="D645" s="18" t="str">
        <f>IF(A645 = MAX($A$2:A1000), Inputs!$C$2, "")</f>
        <v/>
      </c>
      <c r="E645" s="18" t="str">
        <f t="shared" si="1"/>
        <v/>
      </c>
    </row>
    <row r="646">
      <c r="B646" s="18" t="str">
        <f>IF(A646="","",A646/Inputs!$C$4)</f>
        <v/>
      </c>
      <c r="C646" s="18" t="str">
        <f>IF(A646="","",(Inputs!$C$3*Inputs!$C$2)/Inputs!$C$4)</f>
        <v/>
      </c>
      <c r="D646" s="18" t="str">
        <f>IF(A646 = MAX($A$2:A1000), Inputs!$C$2, "")</f>
        <v/>
      </c>
      <c r="E646" s="18" t="str">
        <f t="shared" si="1"/>
        <v/>
      </c>
    </row>
    <row r="647">
      <c r="B647" s="18" t="str">
        <f>IF(A647="","",A647/Inputs!$C$4)</f>
        <v/>
      </c>
      <c r="C647" s="18" t="str">
        <f>IF(A647="","",(Inputs!$C$3*Inputs!$C$2)/Inputs!$C$4)</f>
        <v/>
      </c>
      <c r="D647" s="18" t="str">
        <f>IF(A647 = MAX($A$2:A1000), Inputs!$C$2, "")</f>
        <v/>
      </c>
      <c r="E647" s="18" t="str">
        <f t="shared" si="1"/>
        <v/>
      </c>
    </row>
    <row r="648">
      <c r="B648" s="18" t="str">
        <f>IF(A648="","",A648/Inputs!$C$4)</f>
        <v/>
      </c>
      <c r="C648" s="18" t="str">
        <f>IF(A648="","",(Inputs!$C$3*Inputs!$C$2)/Inputs!$C$4)</f>
        <v/>
      </c>
      <c r="D648" s="18" t="str">
        <f>IF(A648 = MAX($A$2:A1000), Inputs!$C$2, "")</f>
        <v/>
      </c>
      <c r="E648" s="18" t="str">
        <f t="shared" si="1"/>
        <v/>
      </c>
    </row>
    <row r="649">
      <c r="B649" s="18" t="str">
        <f>IF(A649="","",A649/Inputs!$C$4)</f>
        <v/>
      </c>
      <c r="C649" s="18" t="str">
        <f>IF(A649="","",(Inputs!$C$3*Inputs!$C$2)/Inputs!$C$4)</f>
        <v/>
      </c>
      <c r="D649" s="18" t="str">
        <f>IF(A649 = MAX($A$2:A1000), Inputs!$C$2, "")</f>
        <v/>
      </c>
      <c r="E649" s="18" t="str">
        <f t="shared" si="1"/>
        <v/>
      </c>
    </row>
    <row r="650">
      <c r="B650" s="18" t="str">
        <f>IF(A650="","",A650/Inputs!$C$4)</f>
        <v/>
      </c>
      <c r="C650" s="18" t="str">
        <f>IF(A650="","",(Inputs!$C$3*Inputs!$C$2)/Inputs!$C$4)</f>
        <v/>
      </c>
      <c r="D650" s="18" t="str">
        <f>IF(A650 = MAX($A$2:A1000), Inputs!$C$2, "")</f>
        <v/>
      </c>
      <c r="E650" s="18" t="str">
        <f t="shared" si="1"/>
        <v/>
      </c>
    </row>
    <row r="651">
      <c r="B651" s="18" t="str">
        <f>IF(A651="","",A651/Inputs!$C$4)</f>
        <v/>
      </c>
      <c r="C651" s="18" t="str">
        <f>IF(A651="","",(Inputs!$C$3*Inputs!$C$2)/Inputs!$C$4)</f>
        <v/>
      </c>
      <c r="D651" s="18" t="str">
        <f>IF(A651 = MAX($A$2:A1000), Inputs!$C$2, "")</f>
        <v/>
      </c>
      <c r="E651" s="18" t="str">
        <f t="shared" si="1"/>
        <v/>
      </c>
    </row>
    <row r="652">
      <c r="B652" s="18" t="str">
        <f>IF(A652="","",A652/Inputs!$C$4)</f>
        <v/>
      </c>
      <c r="C652" s="18" t="str">
        <f>IF(A652="","",(Inputs!$C$3*Inputs!$C$2)/Inputs!$C$4)</f>
        <v/>
      </c>
      <c r="D652" s="18" t="str">
        <f>IF(A652 = MAX($A$2:A1000), Inputs!$C$2, "")</f>
        <v/>
      </c>
      <c r="E652" s="18" t="str">
        <f t="shared" si="1"/>
        <v/>
      </c>
    </row>
    <row r="653">
      <c r="B653" s="18" t="str">
        <f>IF(A653="","",A653/Inputs!$C$4)</f>
        <v/>
      </c>
      <c r="C653" s="18" t="str">
        <f>IF(A653="","",(Inputs!$C$3*Inputs!$C$2)/Inputs!$C$4)</f>
        <v/>
      </c>
      <c r="D653" s="18" t="str">
        <f>IF(A653 = MAX($A$2:A1000), Inputs!$C$2, "")</f>
        <v/>
      </c>
      <c r="E653" s="18" t="str">
        <f t="shared" si="1"/>
        <v/>
      </c>
    </row>
    <row r="654">
      <c r="B654" s="18" t="str">
        <f>IF(A654="","",A654/Inputs!$C$4)</f>
        <v/>
      </c>
      <c r="C654" s="18" t="str">
        <f>IF(A654="","",(Inputs!$C$3*Inputs!$C$2)/Inputs!$C$4)</f>
        <v/>
      </c>
      <c r="D654" s="18" t="str">
        <f>IF(A654 = MAX($A$2:A1000), Inputs!$C$2, "")</f>
        <v/>
      </c>
      <c r="E654" s="18" t="str">
        <f t="shared" si="1"/>
        <v/>
      </c>
    </row>
    <row r="655">
      <c r="B655" s="18" t="str">
        <f>IF(A655="","",A655/Inputs!$C$4)</f>
        <v/>
      </c>
      <c r="C655" s="18" t="str">
        <f>IF(A655="","",(Inputs!$C$3*Inputs!$C$2)/Inputs!$C$4)</f>
        <v/>
      </c>
      <c r="D655" s="18" t="str">
        <f>IF(A655 = MAX($A$2:A1000), Inputs!$C$2, "")</f>
        <v/>
      </c>
      <c r="E655" s="18" t="str">
        <f t="shared" si="1"/>
        <v/>
      </c>
    </row>
    <row r="656">
      <c r="B656" s="18" t="str">
        <f>IF(A656="","",A656/Inputs!$C$4)</f>
        <v/>
      </c>
      <c r="C656" s="18" t="str">
        <f>IF(A656="","",(Inputs!$C$3*Inputs!$C$2)/Inputs!$C$4)</f>
        <v/>
      </c>
      <c r="D656" s="18" t="str">
        <f>IF(A656 = MAX($A$2:A1000), Inputs!$C$2, "")</f>
        <v/>
      </c>
      <c r="E656" s="18" t="str">
        <f t="shared" si="1"/>
        <v/>
      </c>
    </row>
    <row r="657">
      <c r="B657" s="18" t="str">
        <f>IF(A657="","",A657/Inputs!$C$4)</f>
        <v/>
      </c>
      <c r="C657" s="18" t="str">
        <f>IF(A657="","",(Inputs!$C$3*Inputs!$C$2)/Inputs!$C$4)</f>
        <v/>
      </c>
      <c r="D657" s="18" t="str">
        <f>IF(A657 = MAX($A$2:A1000), Inputs!$C$2, "")</f>
        <v/>
      </c>
      <c r="E657" s="18" t="str">
        <f t="shared" si="1"/>
        <v/>
      </c>
    </row>
    <row r="658">
      <c r="B658" s="18" t="str">
        <f>IF(A658="","",A658/Inputs!$C$4)</f>
        <v/>
      </c>
      <c r="C658" s="18" t="str">
        <f>IF(A658="","",(Inputs!$C$3*Inputs!$C$2)/Inputs!$C$4)</f>
        <v/>
      </c>
      <c r="D658" s="18" t="str">
        <f>IF(A658 = MAX($A$2:A1000), Inputs!$C$2, "")</f>
        <v/>
      </c>
      <c r="E658" s="18" t="str">
        <f t="shared" si="1"/>
        <v/>
      </c>
    </row>
    <row r="659">
      <c r="B659" s="18" t="str">
        <f>IF(A659="","",A659/Inputs!$C$4)</f>
        <v/>
      </c>
      <c r="C659" s="18" t="str">
        <f>IF(A659="","",(Inputs!$C$3*Inputs!$C$2)/Inputs!$C$4)</f>
        <v/>
      </c>
      <c r="D659" s="18" t="str">
        <f>IF(A659 = MAX($A$2:A1000), Inputs!$C$2, "")</f>
        <v/>
      </c>
      <c r="E659" s="18" t="str">
        <f t="shared" si="1"/>
        <v/>
      </c>
    </row>
    <row r="660">
      <c r="B660" s="18" t="str">
        <f>IF(A660="","",A660/Inputs!$C$4)</f>
        <v/>
      </c>
      <c r="C660" s="18" t="str">
        <f>IF(A660="","",(Inputs!$C$3*Inputs!$C$2)/Inputs!$C$4)</f>
        <v/>
      </c>
      <c r="D660" s="18" t="str">
        <f>IF(A660 = MAX($A$2:A1000), Inputs!$C$2, "")</f>
        <v/>
      </c>
      <c r="E660" s="18" t="str">
        <f t="shared" si="1"/>
        <v/>
      </c>
    </row>
    <row r="661">
      <c r="B661" s="18" t="str">
        <f>IF(A661="","",A661/Inputs!$C$4)</f>
        <v/>
      </c>
      <c r="C661" s="18" t="str">
        <f>IF(A661="","",(Inputs!$C$3*Inputs!$C$2)/Inputs!$C$4)</f>
        <v/>
      </c>
      <c r="D661" s="18" t="str">
        <f>IF(A661 = MAX($A$2:A1000), Inputs!$C$2, "")</f>
        <v/>
      </c>
      <c r="E661" s="18" t="str">
        <f t="shared" si="1"/>
        <v/>
      </c>
    </row>
    <row r="662">
      <c r="B662" s="18" t="str">
        <f>IF(A662="","",A662/Inputs!$C$4)</f>
        <v/>
      </c>
      <c r="C662" s="18" t="str">
        <f>IF(A662="","",(Inputs!$C$3*Inputs!$C$2)/Inputs!$C$4)</f>
        <v/>
      </c>
      <c r="D662" s="18" t="str">
        <f>IF(A662 = MAX($A$2:A1000), Inputs!$C$2, "")</f>
        <v/>
      </c>
      <c r="E662" s="18" t="str">
        <f t="shared" si="1"/>
        <v/>
      </c>
    </row>
    <row r="663">
      <c r="B663" s="18" t="str">
        <f>IF(A663="","",A663/Inputs!$C$4)</f>
        <v/>
      </c>
      <c r="C663" s="18" t="str">
        <f>IF(A663="","",(Inputs!$C$3*Inputs!$C$2)/Inputs!$C$4)</f>
        <v/>
      </c>
      <c r="D663" s="18" t="str">
        <f>IF(A663 = MAX($A$2:A1000), Inputs!$C$2, "")</f>
        <v/>
      </c>
      <c r="E663" s="18" t="str">
        <f t="shared" si="1"/>
        <v/>
      </c>
    </row>
    <row r="664">
      <c r="B664" s="18" t="str">
        <f>IF(A664="","",A664/Inputs!$C$4)</f>
        <v/>
      </c>
      <c r="C664" s="18" t="str">
        <f>IF(A664="","",(Inputs!$C$3*Inputs!$C$2)/Inputs!$C$4)</f>
        <v/>
      </c>
      <c r="D664" s="18" t="str">
        <f>IF(A664 = MAX($A$2:A1000), Inputs!$C$2, "")</f>
        <v/>
      </c>
      <c r="E664" s="18" t="str">
        <f t="shared" si="1"/>
        <v/>
      </c>
    </row>
    <row r="665">
      <c r="B665" s="18" t="str">
        <f>IF(A665="","",A665/Inputs!$C$4)</f>
        <v/>
      </c>
      <c r="C665" s="18" t="str">
        <f>IF(A665="","",(Inputs!$C$3*Inputs!$C$2)/Inputs!$C$4)</f>
        <v/>
      </c>
      <c r="D665" s="18" t="str">
        <f>IF(A665 = MAX($A$2:A1000), Inputs!$C$2, "")</f>
        <v/>
      </c>
      <c r="E665" s="18" t="str">
        <f t="shared" si="1"/>
        <v/>
      </c>
    </row>
    <row r="666">
      <c r="B666" s="18" t="str">
        <f>IF(A666="","",A666/Inputs!$C$4)</f>
        <v/>
      </c>
      <c r="C666" s="18" t="str">
        <f>IF(A666="","",(Inputs!$C$3*Inputs!$C$2)/Inputs!$C$4)</f>
        <v/>
      </c>
      <c r="D666" s="18" t="str">
        <f>IF(A666 = MAX($A$2:A1000), Inputs!$C$2, "")</f>
        <v/>
      </c>
      <c r="E666" s="18" t="str">
        <f t="shared" si="1"/>
        <v/>
      </c>
    </row>
    <row r="667">
      <c r="B667" s="18" t="str">
        <f>IF(A667="","",A667/Inputs!$C$4)</f>
        <v/>
      </c>
      <c r="C667" s="18" t="str">
        <f>IF(A667="","",(Inputs!$C$3*Inputs!$C$2)/Inputs!$C$4)</f>
        <v/>
      </c>
      <c r="D667" s="18" t="str">
        <f>IF(A667 = MAX($A$2:A1000), Inputs!$C$2, "")</f>
        <v/>
      </c>
      <c r="E667" s="18" t="str">
        <f t="shared" si="1"/>
        <v/>
      </c>
    </row>
    <row r="668">
      <c r="B668" s="18" t="str">
        <f>IF(A668="","",A668/Inputs!$C$4)</f>
        <v/>
      </c>
      <c r="C668" s="18" t="str">
        <f>IF(A668="","",(Inputs!$C$3*Inputs!$C$2)/Inputs!$C$4)</f>
        <v/>
      </c>
      <c r="D668" s="18" t="str">
        <f>IF(A668 = MAX($A$2:A1000), Inputs!$C$2, "")</f>
        <v/>
      </c>
      <c r="E668" s="18" t="str">
        <f t="shared" si="1"/>
        <v/>
      </c>
    </row>
    <row r="669">
      <c r="B669" s="18" t="str">
        <f>IF(A669="","",A669/Inputs!$C$4)</f>
        <v/>
      </c>
      <c r="C669" s="18" t="str">
        <f>IF(A669="","",(Inputs!$C$3*Inputs!$C$2)/Inputs!$C$4)</f>
        <v/>
      </c>
      <c r="D669" s="18" t="str">
        <f>IF(A669 = MAX($A$2:A1000), Inputs!$C$2, "")</f>
        <v/>
      </c>
      <c r="E669" s="18" t="str">
        <f t="shared" si="1"/>
        <v/>
      </c>
    </row>
    <row r="670">
      <c r="B670" s="18" t="str">
        <f>IF(A670="","",A670/Inputs!$C$4)</f>
        <v/>
      </c>
      <c r="C670" s="18" t="str">
        <f>IF(A670="","",(Inputs!$C$3*Inputs!$C$2)/Inputs!$C$4)</f>
        <v/>
      </c>
      <c r="D670" s="18" t="str">
        <f>IF(A670 = MAX($A$2:A1000), Inputs!$C$2, "")</f>
        <v/>
      </c>
      <c r="E670" s="18" t="str">
        <f t="shared" si="1"/>
        <v/>
      </c>
    </row>
    <row r="671">
      <c r="B671" s="18" t="str">
        <f>IF(A671="","",A671/Inputs!$C$4)</f>
        <v/>
      </c>
      <c r="C671" s="18" t="str">
        <f>IF(A671="","",(Inputs!$C$3*Inputs!$C$2)/Inputs!$C$4)</f>
        <v/>
      </c>
      <c r="D671" s="18" t="str">
        <f>IF(A671 = MAX($A$2:A1000), Inputs!$C$2, "")</f>
        <v/>
      </c>
      <c r="E671" s="18" t="str">
        <f t="shared" si="1"/>
        <v/>
      </c>
    </row>
    <row r="672">
      <c r="B672" s="18" t="str">
        <f>IF(A672="","",A672/Inputs!$C$4)</f>
        <v/>
      </c>
      <c r="C672" s="18" t="str">
        <f>IF(A672="","",(Inputs!$C$3*Inputs!$C$2)/Inputs!$C$4)</f>
        <v/>
      </c>
      <c r="D672" s="18" t="str">
        <f>IF(A672 = MAX($A$2:A1000), Inputs!$C$2, "")</f>
        <v/>
      </c>
      <c r="E672" s="18" t="str">
        <f t="shared" si="1"/>
        <v/>
      </c>
    </row>
    <row r="673">
      <c r="B673" s="18" t="str">
        <f>IF(A673="","",A673/Inputs!$C$4)</f>
        <v/>
      </c>
      <c r="C673" s="18" t="str">
        <f>IF(A673="","",(Inputs!$C$3*Inputs!$C$2)/Inputs!$C$4)</f>
        <v/>
      </c>
      <c r="D673" s="18" t="str">
        <f>IF(A673 = MAX($A$2:A1000), Inputs!$C$2, "")</f>
        <v/>
      </c>
      <c r="E673" s="18" t="str">
        <f t="shared" si="1"/>
        <v/>
      </c>
    </row>
    <row r="674">
      <c r="B674" s="18" t="str">
        <f>IF(A674="","",A674/Inputs!$C$4)</f>
        <v/>
      </c>
      <c r="C674" s="18" t="str">
        <f>IF(A674="","",(Inputs!$C$3*Inputs!$C$2)/Inputs!$C$4)</f>
        <v/>
      </c>
      <c r="D674" s="18" t="str">
        <f>IF(A674 = MAX($A$2:A1000), Inputs!$C$2, "")</f>
        <v/>
      </c>
      <c r="E674" s="18" t="str">
        <f t="shared" si="1"/>
        <v/>
      </c>
    </row>
    <row r="675">
      <c r="B675" s="18" t="str">
        <f>IF(A675="","",A675/Inputs!$C$4)</f>
        <v/>
      </c>
      <c r="C675" s="18" t="str">
        <f>IF(A675="","",(Inputs!$C$3*Inputs!$C$2)/Inputs!$C$4)</f>
        <v/>
      </c>
      <c r="D675" s="18" t="str">
        <f>IF(A675 = MAX($A$2:A1000), Inputs!$C$2, "")</f>
        <v/>
      </c>
      <c r="E675" s="18" t="str">
        <f t="shared" si="1"/>
        <v/>
      </c>
    </row>
    <row r="676">
      <c r="B676" s="18" t="str">
        <f>IF(A676="","",A676/Inputs!$C$4)</f>
        <v/>
      </c>
      <c r="C676" s="18" t="str">
        <f>IF(A676="","",(Inputs!$C$3*Inputs!$C$2)/Inputs!$C$4)</f>
        <v/>
      </c>
      <c r="D676" s="18" t="str">
        <f>IF(A676 = MAX($A$2:A1000), Inputs!$C$2, "")</f>
        <v/>
      </c>
      <c r="E676" s="18" t="str">
        <f t="shared" si="1"/>
        <v/>
      </c>
    </row>
    <row r="677">
      <c r="B677" s="18" t="str">
        <f>IF(A677="","",A677/Inputs!$C$4)</f>
        <v/>
      </c>
      <c r="C677" s="18" t="str">
        <f>IF(A677="","",(Inputs!$C$3*Inputs!$C$2)/Inputs!$C$4)</f>
        <v/>
      </c>
      <c r="D677" s="18" t="str">
        <f>IF(A677 = MAX($A$2:A1000), Inputs!$C$2, "")</f>
        <v/>
      </c>
      <c r="E677" s="18" t="str">
        <f t="shared" si="1"/>
        <v/>
      </c>
    </row>
    <row r="678">
      <c r="B678" s="18" t="str">
        <f>IF(A678="","",A678/Inputs!$C$4)</f>
        <v/>
      </c>
      <c r="C678" s="18" t="str">
        <f>IF(A678="","",(Inputs!$C$3*Inputs!$C$2)/Inputs!$C$4)</f>
        <v/>
      </c>
      <c r="D678" s="18" t="str">
        <f>IF(A678 = MAX($A$2:A1000), Inputs!$C$2, "")</f>
        <v/>
      </c>
      <c r="E678" s="18" t="str">
        <f t="shared" si="1"/>
        <v/>
      </c>
    </row>
    <row r="679">
      <c r="B679" s="18" t="str">
        <f>IF(A679="","",A679/Inputs!$C$4)</f>
        <v/>
      </c>
      <c r="C679" s="18" t="str">
        <f>IF(A679="","",(Inputs!$C$3*Inputs!$C$2)/Inputs!$C$4)</f>
        <v/>
      </c>
      <c r="D679" s="18" t="str">
        <f>IF(A679 = MAX($A$2:A1000), Inputs!$C$2, "")</f>
        <v/>
      </c>
      <c r="E679" s="18" t="str">
        <f t="shared" si="1"/>
        <v/>
      </c>
    </row>
    <row r="680">
      <c r="B680" s="18" t="str">
        <f>IF(A680="","",A680/Inputs!$C$4)</f>
        <v/>
      </c>
      <c r="C680" s="18" t="str">
        <f>IF(A680="","",(Inputs!$C$3*Inputs!$C$2)/Inputs!$C$4)</f>
        <v/>
      </c>
      <c r="D680" s="18" t="str">
        <f>IF(A680 = MAX($A$2:A1000), Inputs!$C$2, "")</f>
        <v/>
      </c>
      <c r="E680" s="18" t="str">
        <f t="shared" si="1"/>
        <v/>
      </c>
    </row>
    <row r="681">
      <c r="B681" s="18" t="str">
        <f>IF(A681="","",A681/Inputs!$C$4)</f>
        <v/>
      </c>
      <c r="C681" s="18" t="str">
        <f>IF(A681="","",(Inputs!$C$3*Inputs!$C$2)/Inputs!$C$4)</f>
        <v/>
      </c>
      <c r="D681" s="18" t="str">
        <f>IF(A681 = MAX($A$2:A1000), Inputs!$C$2, "")</f>
        <v/>
      </c>
      <c r="E681" s="18" t="str">
        <f t="shared" si="1"/>
        <v/>
      </c>
    </row>
    <row r="682">
      <c r="B682" s="18" t="str">
        <f>IF(A682="","",A682/Inputs!$C$4)</f>
        <v/>
      </c>
      <c r="C682" s="18" t="str">
        <f>IF(A682="","",(Inputs!$C$3*Inputs!$C$2)/Inputs!$C$4)</f>
        <v/>
      </c>
      <c r="D682" s="18" t="str">
        <f>IF(A682 = MAX($A$2:A1000), Inputs!$C$2, "")</f>
        <v/>
      </c>
      <c r="E682" s="18" t="str">
        <f t="shared" si="1"/>
        <v/>
      </c>
    </row>
    <row r="683">
      <c r="B683" s="18" t="str">
        <f>IF(A683="","",A683/Inputs!$C$4)</f>
        <v/>
      </c>
      <c r="C683" s="18" t="str">
        <f>IF(A683="","",(Inputs!$C$3*Inputs!$C$2)/Inputs!$C$4)</f>
        <v/>
      </c>
      <c r="D683" s="18" t="str">
        <f>IF(A683 = MAX($A$2:A1000), Inputs!$C$2, "")</f>
        <v/>
      </c>
      <c r="E683" s="18" t="str">
        <f t="shared" si="1"/>
        <v/>
      </c>
    </row>
    <row r="684">
      <c r="B684" s="18" t="str">
        <f>IF(A684="","",A684/Inputs!$C$4)</f>
        <v/>
      </c>
      <c r="C684" s="18" t="str">
        <f>IF(A684="","",(Inputs!$C$3*Inputs!$C$2)/Inputs!$C$4)</f>
        <v/>
      </c>
      <c r="D684" s="18" t="str">
        <f>IF(A684 = MAX($A$2:A1000), Inputs!$C$2, "")</f>
        <v/>
      </c>
      <c r="E684" s="18" t="str">
        <f t="shared" si="1"/>
        <v/>
      </c>
    </row>
    <row r="685">
      <c r="B685" s="18" t="str">
        <f>IF(A685="","",A685/Inputs!$C$4)</f>
        <v/>
      </c>
      <c r="C685" s="18" t="str">
        <f>IF(A685="","",(Inputs!$C$3*Inputs!$C$2)/Inputs!$C$4)</f>
        <v/>
      </c>
      <c r="D685" s="18" t="str">
        <f>IF(A685 = MAX($A$2:A1000), Inputs!$C$2, "")</f>
        <v/>
      </c>
      <c r="E685" s="18" t="str">
        <f t="shared" si="1"/>
        <v/>
      </c>
    </row>
    <row r="686">
      <c r="B686" s="18" t="str">
        <f>IF(A686="","",A686/Inputs!$C$4)</f>
        <v/>
      </c>
      <c r="C686" s="18" t="str">
        <f>IF(A686="","",(Inputs!$C$3*Inputs!$C$2)/Inputs!$C$4)</f>
        <v/>
      </c>
      <c r="D686" s="18" t="str">
        <f>IF(A686 = MAX($A$2:A1000), Inputs!$C$2, "")</f>
        <v/>
      </c>
      <c r="E686" s="18" t="str">
        <f t="shared" si="1"/>
        <v/>
      </c>
    </row>
    <row r="687">
      <c r="B687" s="18" t="str">
        <f>IF(A687="","",A687/Inputs!$C$4)</f>
        <v/>
      </c>
      <c r="C687" s="18" t="str">
        <f>IF(A687="","",(Inputs!$C$3*Inputs!$C$2)/Inputs!$C$4)</f>
        <v/>
      </c>
      <c r="D687" s="18" t="str">
        <f>IF(A687 = MAX($A$2:A1000), Inputs!$C$2, "")</f>
        <v/>
      </c>
      <c r="E687" s="18" t="str">
        <f t="shared" si="1"/>
        <v/>
      </c>
    </row>
    <row r="688">
      <c r="B688" s="18" t="str">
        <f>IF(A688="","",A688/Inputs!$C$4)</f>
        <v/>
      </c>
      <c r="C688" s="18" t="str">
        <f>IF(A688="","",(Inputs!$C$3*Inputs!$C$2)/Inputs!$C$4)</f>
        <v/>
      </c>
      <c r="D688" s="18" t="str">
        <f>IF(A688 = MAX($A$2:A1000), Inputs!$C$2, "")</f>
        <v/>
      </c>
      <c r="E688" s="18" t="str">
        <f t="shared" si="1"/>
        <v/>
      </c>
    </row>
    <row r="689">
      <c r="B689" s="18" t="str">
        <f>IF(A689="","",A689/Inputs!$C$4)</f>
        <v/>
      </c>
      <c r="C689" s="18" t="str">
        <f>IF(A689="","",(Inputs!$C$3*Inputs!$C$2)/Inputs!$C$4)</f>
        <v/>
      </c>
      <c r="D689" s="18" t="str">
        <f>IF(A689 = MAX($A$2:A1000), Inputs!$C$2, "")</f>
        <v/>
      </c>
      <c r="E689" s="18" t="str">
        <f t="shared" si="1"/>
        <v/>
      </c>
    </row>
    <row r="690">
      <c r="B690" s="18" t="str">
        <f>IF(A690="","",A690/Inputs!$C$4)</f>
        <v/>
      </c>
      <c r="C690" s="18" t="str">
        <f>IF(A690="","",(Inputs!$C$3*Inputs!$C$2)/Inputs!$C$4)</f>
        <v/>
      </c>
      <c r="D690" s="18" t="str">
        <f>IF(A690 = MAX($A$2:A1000), Inputs!$C$2, "")</f>
        <v/>
      </c>
      <c r="E690" s="18" t="str">
        <f t="shared" si="1"/>
        <v/>
      </c>
    </row>
    <row r="691">
      <c r="B691" s="18" t="str">
        <f>IF(A691="","",A691/Inputs!$C$4)</f>
        <v/>
      </c>
      <c r="C691" s="18" t="str">
        <f>IF(A691="","",(Inputs!$C$3*Inputs!$C$2)/Inputs!$C$4)</f>
        <v/>
      </c>
      <c r="D691" s="18" t="str">
        <f>IF(A691 = MAX($A$2:A1000), Inputs!$C$2, "")</f>
        <v/>
      </c>
      <c r="E691" s="18" t="str">
        <f t="shared" si="1"/>
        <v/>
      </c>
    </row>
    <row r="692">
      <c r="B692" s="18" t="str">
        <f>IF(A692="","",A692/Inputs!$C$4)</f>
        <v/>
      </c>
      <c r="C692" s="18" t="str">
        <f>IF(A692="","",(Inputs!$C$3*Inputs!$C$2)/Inputs!$C$4)</f>
        <v/>
      </c>
      <c r="D692" s="18" t="str">
        <f>IF(A692 = MAX($A$2:A1000), Inputs!$C$2, "")</f>
        <v/>
      </c>
      <c r="E692" s="18" t="str">
        <f t="shared" si="1"/>
        <v/>
      </c>
    </row>
    <row r="693">
      <c r="B693" s="18" t="str">
        <f>IF(A693="","",A693/Inputs!$C$4)</f>
        <v/>
      </c>
      <c r="C693" s="18" t="str">
        <f>IF(A693="","",(Inputs!$C$3*Inputs!$C$2)/Inputs!$C$4)</f>
        <v/>
      </c>
      <c r="D693" s="18" t="str">
        <f>IF(A693 = MAX($A$2:A1000), Inputs!$C$2, "")</f>
        <v/>
      </c>
      <c r="E693" s="18" t="str">
        <f t="shared" si="1"/>
        <v/>
      </c>
    </row>
    <row r="694">
      <c r="B694" s="18" t="str">
        <f>IF(A694="","",A694/Inputs!$C$4)</f>
        <v/>
      </c>
      <c r="C694" s="18" t="str">
        <f>IF(A694="","",(Inputs!$C$3*Inputs!$C$2)/Inputs!$C$4)</f>
        <v/>
      </c>
      <c r="D694" s="18" t="str">
        <f>IF(A694 = MAX($A$2:A1000), Inputs!$C$2, "")</f>
        <v/>
      </c>
      <c r="E694" s="18" t="str">
        <f t="shared" si="1"/>
        <v/>
      </c>
    </row>
    <row r="695">
      <c r="B695" s="18" t="str">
        <f>IF(A695="","",A695/Inputs!$C$4)</f>
        <v/>
      </c>
      <c r="C695" s="18" t="str">
        <f>IF(A695="","",(Inputs!$C$3*Inputs!$C$2)/Inputs!$C$4)</f>
        <v/>
      </c>
      <c r="D695" s="18" t="str">
        <f>IF(A695 = MAX($A$2:A1000), Inputs!$C$2, "")</f>
        <v/>
      </c>
      <c r="E695" s="18" t="str">
        <f t="shared" si="1"/>
        <v/>
      </c>
    </row>
    <row r="696">
      <c r="B696" s="18" t="str">
        <f>IF(A696="","",A696/Inputs!$C$4)</f>
        <v/>
      </c>
      <c r="C696" s="18" t="str">
        <f>IF(A696="","",(Inputs!$C$3*Inputs!$C$2)/Inputs!$C$4)</f>
        <v/>
      </c>
      <c r="D696" s="18" t="str">
        <f>IF(A696 = MAX($A$2:A1000), Inputs!$C$2, "")</f>
        <v/>
      </c>
      <c r="E696" s="18" t="str">
        <f t="shared" si="1"/>
        <v/>
      </c>
    </row>
    <row r="697">
      <c r="B697" s="18" t="str">
        <f>IF(A697="","",A697/Inputs!$C$4)</f>
        <v/>
      </c>
      <c r="C697" s="18" t="str">
        <f>IF(A697="","",(Inputs!$C$3*Inputs!$C$2)/Inputs!$C$4)</f>
        <v/>
      </c>
      <c r="D697" s="18" t="str">
        <f>IF(A697 = MAX($A$2:A1000), Inputs!$C$2, "")</f>
        <v/>
      </c>
      <c r="E697" s="18" t="str">
        <f t="shared" si="1"/>
        <v/>
      </c>
    </row>
    <row r="698">
      <c r="B698" s="18" t="str">
        <f>IF(A698="","",A698/Inputs!$C$4)</f>
        <v/>
      </c>
      <c r="C698" s="18" t="str">
        <f>IF(A698="","",(Inputs!$C$3*Inputs!$C$2)/Inputs!$C$4)</f>
        <v/>
      </c>
      <c r="D698" s="18" t="str">
        <f>IF(A698 = MAX($A$2:A1000), Inputs!$C$2, "")</f>
        <v/>
      </c>
      <c r="E698" s="18" t="str">
        <f t="shared" si="1"/>
        <v/>
      </c>
    </row>
    <row r="699">
      <c r="B699" s="18" t="str">
        <f>IF(A699="","",A699/Inputs!$C$4)</f>
        <v/>
      </c>
      <c r="C699" s="18" t="str">
        <f>IF(A699="","",(Inputs!$C$3*Inputs!$C$2)/Inputs!$C$4)</f>
        <v/>
      </c>
      <c r="D699" s="18" t="str">
        <f>IF(A699 = MAX($A$2:A1000), Inputs!$C$2, "")</f>
        <v/>
      </c>
      <c r="E699" s="18" t="str">
        <f t="shared" si="1"/>
        <v/>
      </c>
    </row>
    <row r="700">
      <c r="B700" s="18" t="str">
        <f>IF(A700="","",A700/Inputs!$C$4)</f>
        <v/>
      </c>
      <c r="C700" s="18" t="str">
        <f>IF(A700="","",(Inputs!$C$3*Inputs!$C$2)/Inputs!$C$4)</f>
        <v/>
      </c>
      <c r="D700" s="18" t="str">
        <f>IF(A700 = MAX($A$2:A1000), Inputs!$C$2, "")</f>
        <v/>
      </c>
      <c r="E700" s="18" t="str">
        <f t="shared" si="1"/>
        <v/>
      </c>
    </row>
    <row r="701">
      <c r="B701" s="18" t="str">
        <f>IF(A701="","",A701/Inputs!$C$4)</f>
        <v/>
      </c>
      <c r="C701" s="18" t="str">
        <f>IF(A701="","",(Inputs!$C$3*Inputs!$C$2)/Inputs!$C$4)</f>
        <v/>
      </c>
      <c r="D701" s="18" t="str">
        <f>IF(A701 = MAX($A$2:A1000), Inputs!$C$2, "")</f>
        <v/>
      </c>
      <c r="E701" s="18" t="str">
        <f t="shared" si="1"/>
        <v/>
      </c>
    </row>
    <row r="702">
      <c r="B702" s="18" t="str">
        <f>IF(A702="","",A702/Inputs!$C$4)</f>
        <v/>
      </c>
      <c r="C702" s="18" t="str">
        <f>IF(A702="","",(Inputs!$C$3*Inputs!$C$2)/Inputs!$C$4)</f>
        <v/>
      </c>
      <c r="D702" s="18" t="str">
        <f>IF(A702 = MAX($A$2:A1000), Inputs!$C$2, "")</f>
        <v/>
      </c>
      <c r="E702" s="18" t="str">
        <f t="shared" si="1"/>
        <v/>
      </c>
    </row>
    <row r="703">
      <c r="B703" s="18" t="str">
        <f>IF(A703="","",A703/Inputs!$C$4)</f>
        <v/>
      </c>
      <c r="C703" s="18" t="str">
        <f>IF(A703="","",(Inputs!$C$3*Inputs!$C$2)/Inputs!$C$4)</f>
        <v/>
      </c>
      <c r="D703" s="18" t="str">
        <f>IF(A703 = MAX($A$2:A1000), Inputs!$C$2, "")</f>
        <v/>
      </c>
      <c r="E703" s="18" t="str">
        <f t="shared" si="1"/>
        <v/>
      </c>
    </row>
    <row r="704">
      <c r="B704" s="18" t="str">
        <f>IF(A704="","",A704/Inputs!$C$4)</f>
        <v/>
      </c>
      <c r="C704" s="18" t="str">
        <f>IF(A704="","",(Inputs!$C$3*Inputs!$C$2)/Inputs!$C$4)</f>
        <v/>
      </c>
      <c r="D704" s="18" t="str">
        <f>IF(A704 = MAX($A$2:A1000), Inputs!$C$2, "")</f>
        <v/>
      </c>
      <c r="E704" s="18" t="str">
        <f t="shared" si="1"/>
        <v/>
      </c>
    </row>
    <row r="705">
      <c r="B705" s="18" t="str">
        <f>IF(A705="","",A705/Inputs!$C$4)</f>
        <v/>
      </c>
      <c r="C705" s="18" t="str">
        <f>IF(A705="","",(Inputs!$C$3*Inputs!$C$2)/Inputs!$C$4)</f>
        <v/>
      </c>
      <c r="D705" s="18" t="str">
        <f>IF(A705 = MAX($A$2:A1000), Inputs!$C$2, "")</f>
        <v/>
      </c>
      <c r="E705" s="18" t="str">
        <f t="shared" si="1"/>
        <v/>
      </c>
    </row>
    <row r="706">
      <c r="B706" s="18" t="str">
        <f>IF(A706="","",A706/Inputs!$C$4)</f>
        <v/>
      </c>
      <c r="C706" s="18" t="str">
        <f>IF(A706="","",(Inputs!$C$3*Inputs!$C$2)/Inputs!$C$4)</f>
        <v/>
      </c>
      <c r="D706" s="18" t="str">
        <f>IF(A706 = MAX($A$2:A1000), Inputs!$C$2, "")</f>
        <v/>
      </c>
      <c r="E706" s="18" t="str">
        <f t="shared" si="1"/>
        <v/>
      </c>
    </row>
    <row r="707">
      <c r="B707" s="18" t="str">
        <f>IF(A707="","",A707/Inputs!$C$4)</f>
        <v/>
      </c>
      <c r="C707" s="18" t="str">
        <f>IF(A707="","",(Inputs!$C$3*Inputs!$C$2)/Inputs!$C$4)</f>
        <v/>
      </c>
      <c r="D707" s="18" t="str">
        <f>IF(A707 = MAX($A$2:A1000), Inputs!$C$2, "")</f>
        <v/>
      </c>
      <c r="E707" s="18" t="str">
        <f t="shared" si="1"/>
        <v/>
      </c>
    </row>
    <row r="708">
      <c r="B708" s="18" t="str">
        <f>IF(A708="","",A708/Inputs!$C$4)</f>
        <v/>
      </c>
      <c r="C708" s="18" t="str">
        <f>IF(A708="","",(Inputs!$C$3*Inputs!$C$2)/Inputs!$C$4)</f>
        <v/>
      </c>
      <c r="D708" s="18" t="str">
        <f>IF(A708 = MAX($A$2:A1000), Inputs!$C$2, "")</f>
        <v/>
      </c>
      <c r="E708" s="18" t="str">
        <f t="shared" si="1"/>
        <v/>
      </c>
    </row>
    <row r="709">
      <c r="B709" s="18" t="str">
        <f>IF(A709="","",A709/Inputs!$C$4)</f>
        <v/>
      </c>
      <c r="C709" s="18" t="str">
        <f>IF(A709="","",(Inputs!$C$3*Inputs!$C$2)/Inputs!$C$4)</f>
        <v/>
      </c>
      <c r="D709" s="18" t="str">
        <f>IF(A709 = MAX($A$2:A1000), Inputs!$C$2, "")</f>
        <v/>
      </c>
      <c r="E709" s="18" t="str">
        <f t="shared" si="1"/>
        <v/>
      </c>
    </row>
    <row r="710">
      <c r="B710" s="18" t="str">
        <f>IF(A710="","",A710/Inputs!$C$4)</f>
        <v/>
      </c>
      <c r="C710" s="18" t="str">
        <f>IF(A710="","",(Inputs!$C$3*Inputs!$C$2)/Inputs!$C$4)</f>
        <v/>
      </c>
      <c r="D710" s="18" t="str">
        <f>IF(A710 = MAX($A$2:A1000), Inputs!$C$2, "")</f>
        <v/>
      </c>
      <c r="E710" s="18" t="str">
        <f t="shared" si="1"/>
        <v/>
      </c>
    </row>
    <row r="711">
      <c r="B711" s="18" t="str">
        <f>IF(A711="","",A711/Inputs!$C$4)</f>
        <v/>
      </c>
      <c r="C711" s="18" t="str">
        <f>IF(A711="","",(Inputs!$C$3*Inputs!$C$2)/Inputs!$C$4)</f>
        <v/>
      </c>
      <c r="D711" s="18" t="str">
        <f>IF(A711 = MAX($A$2:A1000), Inputs!$C$2, "")</f>
        <v/>
      </c>
      <c r="E711" s="18" t="str">
        <f t="shared" si="1"/>
        <v/>
      </c>
    </row>
    <row r="712">
      <c r="B712" s="18" t="str">
        <f>IF(A712="","",A712/Inputs!$C$4)</f>
        <v/>
      </c>
      <c r="C712" s="18" t="str">
        <f>IF(A712="","",(Inputs!$C$3*Inputs!$C$2)/Inputs!$C$4)</f>
        <v/>
      </c>
      <c r="D712" s="18" t="str">
        <f>IF(A712 = MAX($A$2:A1000), Inputs!$C$2, "")</f>
        <v/>
      </c>
      <c r="E712" s="18" t="str">
        <f t="shared" si="1"/>
        <v/>
      </c>
    </row>
    <row r="713">
      <c r="B713" s="18" t="str">
        <f>IF(A713="","",A713/Inputs!$C$4)</f>
        <v/>
      </c>
      <c r="C713" s="18" t="str">
        <f>IF(A713="","",(Inputs!$C$3*Inputs!$C$2)/Inputs!$C$4)</f>
        <v/>
      </c>
      <c r="D713" s="18" t="str">
        <f>IF(A713 = MAX($A$2:A1000), Inputs!$C$2, "")</f>
        <v/>
      </c>
      <c r="E713" s="18" t="str">
        <f t="shared" si="1"/>
        <v/>
      </c>
    </row>
    <row r="714">
      <c r="B714" s="18" t="str">
        <f>IF(A714="","",A714/Inputs!$C$4)</f>
        <v/>
      </c>
      <c r="C714" s="18" t="str">
        <f>IF(A714="","",(Inputs!$C$3*Inputs!$C$2)/Inputs!$C$4)</f>
        <v/>
      </c>
      <c r="D714" s="18" t="str">
        <f>IF(A714 = MAX($A$2:A1000), Inputs!$C$2, "")</f>
        <v/>
      </c>
      <c r="E714" s="18" t="str">
        <f t="shared" si="1"/>
        <v/>
      </c>
    </row>
    <row r="715">
      <c r="B715" s="18" t="str">
        <f>IF(A715="","",A715/Inputs!$C$4)</f>
        <v/>
      </c>
      <c r="C715" s="18" t="str">
        <f>IF(A715="","",(Inputs!$C$3*Inputs!$C$2)/Inputs!$C$4)</f>
        <v/>
      </c>
      <c r="D715" s="18" t="str">
        <f>IF(A715 = MAX($A$2:A1000), Inputs!$C$2, "")</f>
        <v/>
      </c>
      <c r="E715" s="18" t="str">
        <f t="shared" si="1"/>
        <v/>
      </c>
    </row>
    <row r="716">
      <c r="B716" s="18" t="str">
        <f>IF(A716="","",A716/Inputs!$C$4)</f>
        <v/>
      </c>
      <c r="C716" s="18" t="str">
        <f>IF(A716="","",(Inputs!$C$3*Inputs!$C$2)/Inputs!$C$4)</f>
        <v/>
      </c>
      <c r="D716" s="18" t="str">
        <f>IF(A716 = MAX($A$2:A1000), Inputs!$C$2, "")</f>
        <v/>
      </c>
      <c r="E716" s="18" t="str">
        <f t="shared" si="1"/>
        <v/>
      </c>
    </row>
    <row r="717">
      <c r="B717" s="18" t="str">
        <f>IF(A717="","",A717/Inputs!$C$4)</f>
        <v/>
      </c>
      <c r="C717" s="18" t="str">
        <f>IF(A717="","",(Inputs!$C$3*Inputs!$C$2)/Inputs!$C$4)</f>
        <v/>
      </c>
      <c r="D717" s="18" t="str">
        <f>IF(A717 = MAX($A$2:A1000), Inputs!$C$2, "")</f>
        <v/>
      </c>
      <c r="E717" s="18" t="str">
        <f t="shared" si="1"/>
        <v/>
      </c>
    </row>
    <row r="718">
      <c r="B718" s="18" t="str">
        <f>IF(A718="","",A718/Inputs!$C$4)</f>
        <v/>
      </c>
      <c r="C718" s="18" t="str">
        <f>IF(A718="","",(Inputs!$C$3*Inputs!$C$2)/Inputs!$C$4)</f>
        <v/>
      </c>
      <c r="D718" s="18" t="str">
        <f>IF(A718 = MAX($A$2:A1000), Inputs!$C$2, "")</f>
        <v/>
      </c>
      <c r="E718" s="18" t="str">
        <f t="shared" si="1"/>
        <v/>
      </c>
    </row>
    <row r="719">
      <c r="B719" s="18" t="str">
        <f>IF(A719="","",A719/Inputs!$C$4)</f>
        <v/>
      </c>
      <c r="C719" s="18" t="str">
        <f>IF(A719="","",(Inputs!$C$3*Inputs!$C$2)/Inputs!$C$4)</f>
        <v/>
      </c>
      <c r="D719" s="18" t="str">
        <f>IF(A719 = MAX($A$2:A1000), Inputs!$C$2, "")</f>
        <v/>
      </c>
      <c r="E719" s="18" t="str">
        <f t="shared" si="1"/>
        <v/>
      </c>
    </row>
    <row r="720">
      <c r="B720" s="18" t="str">
        <f>IF(A720="","",A720/Inputs!$C$4)</f>
        <v/>
      </c>
      <c r="C720" s="18" t="str">
        <f>IF(A720="","",(Inputs!$C$3*Inputs!$C$2)/Inputs!$C$4)</f>
        <v/>
      </c>
      <c r="D720" s="18" t="str">
        <f>IF(A720 = MAX($A$2:A1000), Inputs!$C$2, "")</f>
        <v/>
      </c>
      <c r="E720" s="18" t="str">
        <f t="shared" si="1"/>
        <v/>
      </c>
    </row>
    <row r="721">
      <c r="B721" s="18" t="str">
        <f>IF(A721="","",A721/Inputs!$C$4)</f>
        <v/>
      </c>
      <c r="C721" s="18" t="str">
        <f>IF(A721="","",(Inputs!$C$3*Inputs!$C$2)/Inputs!$C$4)</f>
        <v/>
      </c>
      <c r="D721" s="18" t="str">
        <f>IF(A721 = MAX($A$2:A1000), Inputs!$C$2, "")</f>
        <v/>
      </c>
      <c r="E721" s="18" t="str">
        <f t="shared" si="1"/>
        <v/>
      </c>
    </row>
    <row r="722">
      <c r="B722" s="18" t="str">
        <f>IF(A722="","",A722/Inputs!$C$4)</f>
        <v/>
      </c>
      <c r="C722" s="18" t="str">
        <f>IF(A722="","",(Inputs!$C$3*Inputs!$C$2)/Inputs!$C$4)</f>
        <v/>
      </c>
      <c r="D722" s="18" t="str">
        <f>IF(A722 = MAX($A$2:A1000), Inputs!$C$2, "")</f>
        <v/>
      </c>
      <c r="E722" s="18" t="str">
        <f t="shared" si="1"/>
        <v/>
      </c>
    </row>
    <row r="723">
      <c r="B723" s="18" t="str">
        <f>IF(A723="","",A723/Inputs!$C$4)</f>
        <v/>
      </c>
      <c r="C723" s="18" t="str">
        <f>IF(A723="","",(Inputs!$C$3*Inputs!$C$2)/Inputs!$C$4)</f>
        <v/>
      </c>
      <c r="D723" s="18" t="str">
        <f>IF(A723 = MAX($A$2:A1000), Inputs!$C$2, "")</f>
        <v/>
      </c>
      <c r="E723" s="18" t="str">
        <f t="shared" si="1"/>
        <v/>
      </c>
    </row>
    <row r="724">
      <c r="B724" s="18" t="str">
        <f>IF(A724="","",A724/Inputs!$C$4)</f>
        <v/>
      </c>
      <c r="C724" s="18" t="str">
        <f>IF(A724="","",(Inputs!$C$3*Inputs!$C$2)/Inputs!$C$4)</f>
        <v/>
      </c>
      <c r="D724" s="18" t="str">
        <f>IF(A724 = MAX($A$2:A1000), Inputs!$C$2, "")</f>
        <v/>
      </c>
      <c r="E724" s="18" t="str">
        <f t="shared" si="1"/>
        <v/>
      </c>
    </row>
    <row r="725">
      <c r="B725" s="18" t="str">
        <f>IF(A725="","",A725/Inputs!$C$4)</f>
        <v/>
      </c>
      <c r="C725" s="18" t="str">
        <f>IF(A725="","",(Inputs!$C$3*Inputs!$C$2)/Inputs!$C$4)</f>
        <v/>
      </c>
      <c r="D725" s="18" t="str">
        <f>IF(A725 = MAX($A$2:A1000), Inputs!$C$2, "")</f>
        <v/>
      </c>
      <c r="E725" s="18" t="str">
        <f t="shared" si="1"/>
        <v/>
      </c>
    </row>
    <row r="726">
      <c r="B726" s="18" t="str">
        <f>IF(A726="","",A726/Inputs!$C$4)</f>
        <v/>
      </c>
      <c r="C726" s="18" t="str">
        <f>IF(A726="","",(Inputs!$C$3*Inputs!$C$2)/Inputs!$C$4)</f>
        <v/>
      </c>
      <c r="D726" s="18" t="str">
        <f>IF(A726 = MAX($A$2:A1000), Inputs!$C$2, "")</f>
        <v/>
      </c>
      <c r="E726" s="18" t="str">
        <f t="shared" si="1"/>
        <v/>
      </c>
    </row>
    <row r="727">
      <c r="B727" s="18" t="str">
        <f>IF(A727="","",A727/Inputs!$C$4)</f>
        <v/>
      </c>
      <c r="C727" s="18" t="str">
        <f>IF(A727="","",(Inputs!$C$3*Inputs!$C$2)/Inputs!$C$4)</f>
        <v/>
      </c>
      <c r="D727" s="18" t="str">
        <f>IF(A727 = MAX($A$2:A1000), Inputs!$C$2, "")</f>
        <v/>
      </c>
      <c r="E727" s="18" t="str">
        <f t="shared" si="1"/>
        <v/>
      </c>
    </row>
    <row r="728">
      <c r="B728" s="18" t="str">
        <f>IF(A728="","",A728/Inputs!$C$4)</f>
        <v/>
      </c>
      <c r="C728" s="18" t="str">
        <f>IF(A728="","",(Inputs!$C$3*Inputs!$C$2)/Inputs!$C$4)</f>
        <v/>
      </c>
      <c r="D728" s="18" t="str">
        <f>IF(A728 = MAX($A$2:A1000), Inputs!$C$2, "")</f>
        <v/>
      </c>
      <c r="E728" s="18" t="str">
        <f t="shared" si="1"/>
        <v/>
      </c>
    </row>
    <row r="729">
      <c r="B729" s="18" t="str">
        <f>IF(A729="","",A729/Inputs!$C$4)</f>
        <v/>
      </c>
      <c r="C729" s="18" t="str">
        <f>IF(A729="","",(Inputs!$C$3*Inputs!$C$2)/Inputs!$C$4)</f>
        <v/>
      </c>
      <c r="D729" s="18" t="str">
        <f>IF(A729 = MAX($A$2:A1000), Inputs!$C$2, "")</f>
        <v/>
      </c>
      <c r="E729" s="18" t="str">
        <f t="shared" si="1"/>
        <v/>
      </c>
    </row>
    <row r="730">
      <c r="B730" s="18" t="str">
        <f>IF(A730="","",A730/Inputs!$C$4)</f>
        <v/>
      </c>
      <c r="C730" s="18" t="str">
        <f>IF(A730="","",(Inputs!$C$3*Inputs!$C$2)/Inputs!$C$4)</f>
        <v/>
      </c>
      <c r="D730" s="18" t="str">
        <f>IF(A730 = MAX($A$2:A1000), Inputs!$C$2, "")</f>
        <v/>
      </c>
      <c r="E730" s="18" t="str">
        <f t="shared" si="1"/>
        <v/>
      </c>
    </row>
    <row r="731">
      <c r="B731" s="18" t="str">
        <f>IF(A731="","",A731/Inputs!$C$4)</f>
        <v/>
      </c>
      <c r="C731" s="18" t="str">
        <f>IF(A731="","",(Inputs!$C$3*Inputs!$C$2)/Inputs!$C$4)</f>
        <v/>
      </c>
      <c r="D731" s="18" t="str">
        <f>IF(A731 = MAX($A$2:A1000), Inputs!$C$2, "")</f>
        <v/>
      </c>
      <c r="E731" s="18" t="str">
        <f t="shared" si="1"/>
        <v/>
      </c>
    </row>
    <row r="732">
      <c r="B732" s="18" t="str">
        <f>IF(A732="","",A732/Inputs!$C$4)</f>
        <v/>
      </c>
      <c r="C732" s="18" t="str">
        <f>IF(A732="","",(Inputs!$C$3*Inputs!$C$2)/Inputs!$C$4)</f>
        <v/>
      </c>
      <c r="D732" s="18" t="str">
        <f>IF(A732 = MAX($A$2:A1000), Inputs!$C$2, "")</f>
        <v/>
      </c>
      <c r="E732" s="18" t="str">
        <f t="shared" si="1"/>
        <v/>
      </c>
    </row>
    <row r="733">
      <c r="B733" s="18" t="str">
        <f>IF(A733="","",A733/Inputs!$C$4)</f>
        <v/>
      </c>
      <c r="C733" s="18" t="str">
        <f>IF(A733="","",(Inputs!$C$3*Inputs!$C$2)/Inputs!$C$4)</f>
        <v/>
      </c>
      <c r="D733" s="18" t="str">
        <f>IF(A733 = MAX($A$2:A1000), Inputs!$C$2, "")</f>
        <v/>
      </c>
      <c r="E733" s="18" t="str">
        <f t="shared" si="1"/>
        <v/>
      </c>
    </row>
    <row r="734">
      <c r="B734" s="18" t="str">
        <f>IF(A734="","",A734/Inputs!$C$4)</f>
        <v/>
      </c>
      <c r="C734" s="18" t="str">
        <f>IF(A734="","",(Inputs!$C$3*Inputs!$C$2)/Inputs!$C$4)</f>
        <v/>
      </c>
      <c r="D734" s="18" t="str">
        <f>IF(A734 = MAX($A$2:A1000), Inputs!$C$2, "")</f>
        <v/>
      </c>
      <c r="E734" s="18" t="str">
        <f t="shared" si="1"/>
        <v/>
      </c>
    </row>
    <row r="735">
      <c r="B735" s="18" t="str">
        <f>IF(A735="","",A735/Inputs!$C$4)</f>
        <v/>
      </c>
      <c r="C735" s="18" t="str">
        <f>IF(A735="","",(Inputs!$C$3*Inputs!$C$2)/Inputs!$C$4)</f>
        <v/>
      </c>
      <c r="D735" s="18" t="str">
        <f>IF(A735 = MAX($A$2:A1000), Inputs!$C$2, "")</f>
        <v/>
      </c>
      <c r="E735" s="18" t="str">
        <f t="shared" si="1"/>
        <v/>
      </c>
    </row>
    <row r="736">
      <c r="B736" s="18" t="str">
        <f>IF(A736="","",A736/Inputs!$C$4)</f>
        <v/>
      </c>
      <c r="C736" s="18" t="str">
        <f>IF(A736="","",(Inputs!$C$3*Inputs!$C$2)/Inputs!$C$4)</f>
        <v/>
      </c>
      <c r="D736" s="18" t="str">
        <f>IF(A736 = MAX($A$2:A1000), Inputs!$C$2, "")</f>
        <v/>
      </c>
      <c r="E736" s="18" t="str">
        <f t="shared" si="1"/>
        <v/>
      </c>
    </row>
    <row r="737">
      <c r="B737" s="18" t="str">
        <f>IF(A737="","",A737/Inputs!$C$4)</f>
        <v/>
      </c>
      <c r="C737" s="18" t="str">
        <f>IF(A737="","",(Inputs!$C$3*Inputs!$C$2)/Inputs!$C$4)</f>
        <v/>
      </c>
      <c r="D737" s="18" t="str">
        <f>IF(A737 = MAX($A$2:A1000), Inputs!$C$2, "")</f>
        <v/>
      </c>
      <c r="E737" s="18" t="str">
        <f t="shared" si="1"/>
        <v/>
      </c>
    </row>
    <row r="738">
      <c r="B738" s="18" t="str">
        <f>IF(A738="","",A738/Inputs!$C$4)</f>
        <v/>
      </c>
      <c r="C738" s="18" t="str">
        <f>IF(A738="","",(Inputs!$C$3*Inputs!$C$2)/Inputs!$C$4)</f>
        <v/>
      </c>
      <c r="D738" s="18" t="str">
        <f>IF(A738 = MAX($A$2:A1000), Inputs!$C$2, "")</f>
        <v/>
      </c>
      <c r="E738" s="18" t="str">
        <f t="shared" si="1"/>
        <v/>
      </c>
    </row>
    <row r="739">
      <c r="B739" s="18" t="str">
        <f>IF(A739="","",A739/Inputs!$C$4)</f>
        <v/>
      </c>
      <c r="C739" s="18" t="str">
        <f>IF(A739="","",(Inputs!$C$3*Inputs!$C$2)/Inputs!$C$4)</f>
        <v/>
      </c>
      <c r="D739" s="18" t="str">
        <f>IF(A739 = MAX($A$2:A1000), Inputs!$C$2, "")</f>
        <v/>
      </c>
      <c r="E739" s="18" t="str">
        <f t="shared" si="1"/>
        <v/>
      </c>
    </row>
    <row r="740">
      <c r="B740" s="18" t="str">
        <f>IF(A740="","",A740/Inputs!$C$4)</f>
        <v/>
      </c>
      <c r="C740" s="18" t="str">
        <f>IF(A740="","",(Inputs!$C$3*Inputs!$C$2)/Inputs!$C$4)</f>
        <v/>
      </c>
      <c r="D740" s="18" t="str">
        <f>IF(A740 = MAX($A$2:A1000), Inputs!$C$2, "")</f>
        <v/>
      </c>
      <c r="E740" s="18" t="str">
        <f t="shared" si="1"/>
        <v/>
      </c>
    </row>
    <row r="741">
      <c r="B741" s="18" t="str">
        <f>IF(A741="","",A741/Inputs!$C$4)</f>
        <v/>
      </c>
      <c r="C741" s="18" t="str">
        <f>IF(A741="","",(Inputs!$C$3*Inputs!$C$2)/Inputs!$C$4)</f>
        <v/>
      </c>
      <c r="D741" s="18" t="str">
        <f>IF(A741 = MAX($A$2:A1000), Inputs!$C$2, "")</f>
        <v/>
      </c>
      <c r="E741" s="18" t="str">
        <f t="shared" si="1"/>
        <v/>
      </c>
    </row>
    <row r="742">
      <c r="B742" s="18" t="str">
        <f>IF(A742="","",A742/Inputs!$C$4)</f>
        <v/>
      </c>
      <c r="C742" s="18" t="str">
        <f>IF(A742="","",(Inputs!$C$3*Inputs!$C$2)/Inputs!$C$4)</f>
        <v/>
      </c>
      <c r="D742" s="18" t="str">
        <f>IF(A742 = MAX($A$2:A1000), Inputs!$C$2, "")</f>
        <v/>
      </c>
      <c r="E742" s="18" t="str">
        <f t="shared" si="1"/>
        <v/>
      </c>
    </row>
    <row r="743">
      <c r="B743" s="18" t="str">
        <f>IF(A743="","",A743/Inputs!$C$4)</f>
        <v/>
      </c>
      <c r="C743" s="18" t="str">
        <f>IF(A743="","",(Inputs!$C$3*Inputs!$C$2)/Inputs!$C$4)</f>
        <v/>
      </c>
      <c r="D743" s="18" t="str">
        <f>IF(A743 = MAX($A$2:A1000), Inputs!$C$2, "")</f>
        <v/>
      </c>
      <c r="E743" s="18" t="str">
        <f t="shared" si="1"/>
        <v/>
      </c>
    </row>
    <row r="744">
      <c r="B744" s="18" t="str">
        <f>IF(A744="","",A744/Inputs!$C$4)</f>
        <v/>
      </c>
      <c r="C744" s="18" t="str">
        <f>IF(A744="","",(Inputs!$C$3*Inputs!$C$2)/Inputs!$C$4)</f>
        <v/>
      </c>
      <c r="D744" s="18" t="str">
        <f>IF(A744 = MAX($A$2:A1000), Inputs!$C$2, "")</f>
        <v/>
      </c>
      <c r="E744" s="18" t="str">
        <f t="shared" si="1"/>
        <v/>
      </c>
    </row>
    <row r="745">
      <c r="B745" s="18" t="str">
        <f>IF(A745="","",A745/Inputs!$C$4)</f>
        <v/>
      </c>
      <c r="C745" s="18" t="str">
        <f>IF(A745="","",(Inputs!$C$3*Inputs!$C$2)/Inputs!$C$4)</f>
        <v/>
      </c>
      <c r="D745" s="18" t="str">
        <f>IF(A745 = MAX($A$2:A1000), Inputs!$C$2, "")</f>
        <v/>
      </c>
      <c r="E745" s="18" t="str">
        <f t="shared" si="1"/>
        <v/>
      </c>
    </row>
    <row r="746">
      <c r="B746" s="18" t="str">
        <f>IF(A746="","",A746/Inputs!$C$4)</f>
        <v/>
      </c>
      <c r="C746" s="18" t="str">
        <f>IF(A746="","",(Inputs!$C$3*Inputs!$C$2)/Inputs!$C$4)</f>
        <v/>
      </c>
      <c r="D746" s="18" t="str">
        <f>IF(A746 = MAX($A$2:A1000), Inputs!$C$2, "")</f>
        <v/>
      </c>
      <c r="E746" s="18" t="str">
        <f t="shared" si="1"/>
        <v/>
      </c>
    </row>
    <row r="747">
      <c r="B747" s="18" t="str">
        <f>IF(A747="","",A747/Inputs!$C$4)</f>
        <v/>
      </c>
      <c r="C747" s="18" t="str">
        <f>IF(A747="","",(Inputs!$C$3*Inputs!$C$2)/Inputs!$C$4)</f>
        <v/>
      </c>
      <c r="D747" s="18" t="str">
        <f>IF(A747 = MAX($A$2:A1000), Inputs!$C$2, "")</f>
        <v/>
      </c>
      <c r="E747" s="18" t="str">
        <f t="shared" si="1"/>
        <v/>
      </c>
    </row>
    <row r="748">
      <c r="B748" s="18" t="str">
        <f>IF(A748="","",A748/Inputs!$C$4)</f>
        <v/>
      </c>
      <c r="C748" s="18" t="str">
        <f>IF(A748="","",(Inputs!$C$3*Inputs!$C$2)/Inputs!$C$4)</f>
        <v/>
      </c>
      <c r="D748" s="18" t="str">
        <f>IF(A748 = MAX($A$2:A1000), Inputs!$C$2, "")</f>
        <v/>
      </c>
      <c r="E748" s="18" t="str">
        <f t="shared" si="1"/>
        <v/>
      </c>
    </row>
    <row r="749">
      <c r="B749" s="18" t="str">
        <f>IF(A749="","",A749/Inputs!$C$4)</f>
        <v/>
      </c>
      <c r="C749" s="18" t="str">
        <f>IF(A749="","",(Inputs!$C$3*Inputs!$C$2)/Inputs!$C$4)</f>
        <v/>
      </c>
      <c r="D749" s="18" t="str">
        <f>IF(A749 = MAX($A$2:A1000), Inputs!$C$2, "")</f>
        <v/>
      </c>
      <c r="E749" s="18" t="str">
        <f t="shared" si="1"/>
        <v/>
      </c>
    </row>
    <row r="750">
      <c r="B750" s="18" t="str">
        <f>IF(A750="","",A750/Inputs!$C$4)</f>
        <v/>
      </c>
      <c r="C750" s="18" t="str">
        <f>IF(A750="","",(Inputs!$C$3*Inputs!$C$2)/Inputs!$C$4)</f>
        <v/>
      </c>
      <c r="D750" s="18" t="str">
        <f>IF(A750 = MAX($A$2:A1000), Inputs!$C$2, "")</f>
        <v/>
      </c>
      <c r="E750" s="18" t="str">
        <f t="shared" si="1"/>
        <v/>
      </c>
    </row>
    <row r="751">
      <c r="B751" s="18" t="str">
        <f>IF(A751="","",A751/Inputs!$C$4)</f>
        <v/>
      </c>
      <c r="C751" s="18" t="str">
        <f>IF(A751="","",(Inputs!$C$3*Inputs!$C$2)/Inputs!$C$4)</f>
        <v/>
      </c>
      <c r="D751" s="18" t="str">
        <f>IF(A751 = MAX($A$2:A1000), Inputs!$C$2, "")</f>
        <v/>
      </c>
      <c r="E751" s="18" t="str">
        <f t="shared" si="1"/>
        <v/>
      </c>
    </row>
    <row r="752">
      <c r="B752" s="18" t="str">
        <f>IF(A752="","",A752/Inputs!$C$4)</f>
        <v/>
      </c>
      <c r="C752" s="18" t="str">
        <f>IF(A752="","",(Inputs!$C$3*Inputs!$C$2)/Inputs!$C$4)</f>
        <v/>
      </c>
      <c r="D752" s="18" t="str">
        <f>IF(A752 = MAX($A$2:A1000), Inputs!$C$2, "")</f>
        <v/>
      </c>
      <c r="E752" s="18" t="str">
        <f t="shared" si="1"/>
        <v/>
      </c>
    </row>
    <row r="753">
      <c r="B753" s="18" t="str">
        <f>IF(A753="","",A753/Inputs!$C$4)</f>
        <v/>
      </c>
      <c r="C753" s="18" t="str">
        <f>IF(A753="","",(Inputs!$C$3*Inputs!$C$2)/Inputs!$C$4)</f>
        <v/>
      </c>
      <c r="D753" s="18" t="str">
        <f>IF(A753 = MAX($A$2:A1000), Inputs!$C$2, "")</f>
        <v/>
      </c>
      <c r="E753" s="18" t="str">
        <f t="shared" si="1"/>
        <v/>
      </c>
    </row>
    <row r="754">
      <c r="B754" s="18" t="str">
        <f>IF(A754="","",A754/Inputs!$C$4)</f>
        <v/>
      </c>
      <c r="C754" s="18" t="str">
        <f>IF(A754="","",(Inputs!$C$3*Inputs!$C$2)/Inputs!$C$4)</f>
        <v/>
      </c>
      <c r="D754" s="18" t="str">
        <f>IF(A754 = MAX($A$2:A1000), Inputs!$C$2, "")</f>
        <v/>
      </c>
      <c r="E754" s="18" t="str">
        <f t="shared" si="1"/>
        <v/>
      </c>
    </row>
    <row r="755">
      <c r="B755" s="18" t="str">
        <f>IF(A755="","",A755/Inputs!$C$4)</f>
        <v/>
      </c>
      <c r="C755" s="18" t="str">
        <f>IF(A755="","",(Inputs!$C$3*Inputs!$C$2)/Inputs!$C$4)</f>
        <v/>
      </c>
      <c r="D755" s="18" t="str">
        <f>IF(A755 = MAX($A$2:A1000), Inputs!$C$2, "")</f>
        <v/>
      </c>
      <c r="E755" s="18" t="str">
        <f t="shared" si="1"/>
        <v/>
      </c>
    </row>
    <row r="756">
      <c r="B756" s="18" t="str">
        <f>IF(A756="","",A756/Inputs!$C$4)</f>
        <v/>
      </c>
      <c r="C756" s="18" t="str">
        <f>IF(A756="","",(Inputs!$C$3*Inputs!$C$2)/Inputs!$C$4)</f>
        <v/>
      </c>
      <c r="D756" s="18" t="str">
        <f>IF(A756 = MAX($A$2:A1000), Inputs!$C$2, "")</f>
        <v/>
      </c>
      <c r="E756" s="18" t="str">
        <f t="shared" si="1"/>
        <v/>
      </c>
    </row>
    <row r="757">
      <c r="B757" s="18" t="str">
        <f>IF(A757="","",A757/Inputs!$C$4)</f>
        <v/>
      </c>
      <c r="C757" s="18" t="str">
        <f>IF(A757="","",(Inputs!$C$3*Inputs!$C$2)/Inputs!$C$4)</f>
        <v/>
      </c>
      <c r="D757" s="18" t="str">
        <f>IF(A757 = MAX($A$2:A1000), Inputs!$C$2, "")</f>
        <v/>
      </c>
      <c r="E757" s="18" t="str">
        <f t="shared" si="1"/>
        <v/>
      </c>
    </row>
    <row r="758">
      <c r="B758" s="18" t="str">
        <f>IF(A758="","",A758/Inputs!$C$4)</f>
        <v/>
      </c>
      <c r="C758" s="18" t="str">
        <f>IF(A758="","",(Inputs!$C$3*Inputs!$C$2)/Inputs!$C$4)</f>
        <v/>
      </c>
      <c r="D758" s="18" t="str">
        <f>IF(A758 = MAX($A$2:A1000), Inputs!$C$2, "")</f>
        <v/>
      </c>
      <c r="E758" s="18" t="str">
        <f t="shared" si="1"/>
        <v/>
      </c>
    </row>
    <row r="759">
      <c r="B759" s="18" t="str">
        <f>IF(A759="","",A759/Inputs!$C$4)</f>
        <v/>
      </c>
      <c r="C759" s="18" t="str">
        <f>IF(A759="","",(Inputs!$C$3*Inputs!$C$2)/Inputs!$C$4)</f>
        <v/>
      </c>
      <c r="D759" s="18" t="str">
        <f>IF(A759 = MAX($A$2:A1000), Inputs!$C$2, "")</f>
        <v/>
      </c>
      <c r="E759" s="18" t="str">
        <f t="shared" si="1"/>
        <v/>
      </c>
    </row>
    <row r="760">
      <c r="B760" s="18" t="str">
        <f>IF(A760="","",A760/Inputs!$C$4)</f>
        <v/>
      </c>
      <c r="C760" s="18" t="str">
        <f>IF(A760="","",(Inputs!$C$3*Inputs!$C$2)/Inputs!$C$4)</f>
        <v/>
      </c>
      <c r="D760" s="18" t="str">
        <f>IF(A760 = MAX($A$2:A1000), Inputs!$C$2, "")</f>
        <v/>
      </c>
      <c r="E760" s="18" t="str">
        <f t="shared" si="1"/>
        <v/>
      </c>
    </row>
    <row r="761">
      <c r="B761" s="18" t="str">
        <f>IF(A761="","",A761/Inputs!$C$4)</f>
        <v/>
      </c>
      <c r="C761" s="18" t="str">
        <f>IF(A761="","",(Inputs!$C$3*Inputs!$C$2)/Inputs!$C$4)</f>
        <v/>
      </c>
      <c r="D761" s="18" t="str">
        <f>IF(A761 = MAX($A$2:A1000), Inputs!$C$2, "")</f>
        <v/>
      </c>
      <c r="E761" s="18" t="str">
        <f t="shared" si="1"/>
        <v/>
      </c>
    </row>
    <row r="762">
      <c r="B762" s="18" t="str">
        <f>IF(A762="","",A762/Inputs!$C$4)</f>
        <v/>
      </c>
      <c r="C762" s="18" t="str">
        <f>IF(A762="","",(Inputs!$C$3*Inputs!$C$2)/Inputs!$C$4)</f>
        <v/>
      </c>
      <c r="D762" s="18" t="str">
        <f>IF(A762 = MAX($A$2:A1000), Inputs!$C$2, "")</f>
        <v/>
      </c>
      <c r="E762" s="18" t="str">
        <f t="shared" si="1"/>
        <v/>
      </c>
    </row>
    <row r="763">
      <c r="B763" s="18" t="str">
        <f>IF(A763="","",A763/Inputs!$C$4)</f>
        <v/>
      </c>
      <c r="C763" s="18" t="str">
        <f>IF(A763="","",(Inputs!$C$3*Inputs!$C$2)/Inputs!$C$4)</f>
        <v/>
      </c>
      <c r="D763" s="18" t="str">
        <f>IF(A763 = MAX($A$2:A1000), Inputs!$C$2, "")</f>
        <v/>
      </c>
      <c r="E763" s="18" t="str">
        <f t="shared" si="1"/>
        <v/>
      </c>
    </row>
    <row r="764">
      <c r="B764" s="18" t="str">
        <f>IF(A764="","",A764/Inputs!$C$4)</f>
        <v/>
      </c>
      <c r="C764" s="18" t="str">
        <f>IF(A764="","",(Inputs!$C$3*Inputs!$C$2)/Inputs!$C$4)</f>
        <v/>
      </c>
      <c r="D764" s="18" t="str">
        <f>IF(A764 = MAX($A$2:A1000), Inputs!$C$2, "")</f>
        <v/>
      </c>
      <c r="E764" s="18" t="str">
        <f t="shared" si="1"/>
        <v/>
      </c>
    </row>
    <row r="765">
      <c r="B765" s="18" t="str">
        <f>IF(A765="","",A765/Inputs!$C$4)</f>
        <v/>
      </c>
      <c r="C765" s="18" t="str">
        <f>IF(A765="","",(Inputs!$C$3*Inputs!$C$2)/Inputs!$C$4)</f>
        <v/>
      </c>
      <c r="D765" s="18" t="str">
        <f>IF(A765 = MAX($A$2:A1000), Inputs!$C$2, "")</f>
        <v/>
      </c>
      <c r="E765" s="18" t="str">
        <f t="shared" si="1"/>
        <v/>
      </c>
    </row>
    <row r="766">
      <c r="B766" s="18" t="str">
        <f>IF(A766="","",A766/Inputs!$C$4)</f>
        <v/>
      </c>
      <c r="C766" s="18" t="str">
        <f>IF(A766="","",(Inputs!$C$3*Inputs!$C$2)/Inputs!$C$4)</f>
        <v/>
      </c>
      <c r="D766" s="18" t="str">
        <f>IF(A766 = MAX($A$2:A1000), Inputs!$C$2, "")</f>
        <v/>
      </c>
      <c r="E766" s="18" t="str">
        <f t="shared" si="1"/>
        <v/>
      </c>
    </row>
    <row r="767">
      <c r="B767" s="18" t="str">
        <f>IF(A767="","",A767/Inputs!$C$4)</f>
        <v/>
      </c>
      <c r="C767" s="18" t="str">
        <f>IF(A767="","",(Inputs!$C$3*Inputs!$C$2)/Inputs!$C$4)</f>
        <v/>
      </c>
      <c r="D767" s="18" t="str">
        <f>IF(A767 = MAX($A$2:A1000), Inputs!$C$2, "")</f>
        <v/>
      </c>
      <c r="E767" s="18" t="str">
        <f t="shared" si="1"/>
        <v/>
      </c>
    </row>
    <row r="768">
      <c r="B768" s="18" t="str">
        <f>IF(A768="","",A768/Inputs!$C$4)</f>
        <v/>
      </c>
      <c r="C768" s="18" t="str">
        <f>IF(A768="","",(Inputs!$C$3*Inputs!$C$2)/Inputs!$C$4)</f>
        <v/>
      </c>
      <c r="D768" s="18" t="str">
        <f>IF(A768 = MAX($A$2:A1000), Inputs!$C$2, "")</f>
        <v/>
      </c>
      <c r="E768" s="18" t="str">
        <f t="shared" si="1"/>
        <v/>
      </c>
    </row>
    <row r="769">
      <c r="B769" s="18" t="str">
        <f>IF(A769="","",A769/Inputs!$C$4)</f>
        <v/>
      </c>
      <c r="C769" s="18" t="str">
        <f>IF(A769="","",(Inputs!$C$3*Inputs!$C$2)/Inputs!$C$4)</f>
        <v/>
      </c>
      <c r="D769" s="18" t="str">
        <f>IF(A769 = MAX($A$2:A1000), Inputs!$C$2, "")</f>
        <v/>
      </c>
      <c r="E769" s="18" t="str">
        <f t="shared" si="1"/>
        <v/>
      </c>
    </row>
    <row r="770">
      <c r="B770" s="18" t="str">
        <f>IF(A770="","",A770/Inputs!$C$4)</f>
        <v/>
      </c>
      <c r="C770" s="18" t="str">
        <f>IF(A770="","",(Inputs!$C$3*Inputs!$C$2)/Inputs!$C$4)</f>
        <v/>
      </c>
      <c r="D770" s="18" t="str">
        <f>IF(A770 = MAX($A$2:A1000), Inputs!$C$2, "")</f>
        <v/>
      </c>
      <c r="E770" s="18" t="str">
        <f t="shared" si="1"/>
        <v/>
      </c>
    </row>
    <row r="771">
      <c r="B771" s="18" t="str">
        <f>IF(A771="","",A771/Inputs!$C$4)</f>
        <v/>
      </c>
      <c r="C771" s="18" t="str">
        <f>IF(A771="","",(Inputs!$C$3*Inputs!$C$2)/Inputs!$C$4)</f>
        <v/>
      </c>
      <c r="D771" s="18" t="str">
        <f>IF(A771 = MAX($A$2:A1000), Inputs!$C$2, "")</f>
        <v/>
      </c>
      <c r="E771" s="18" t="str">
        <f t="shared" si="1"/>
        <v/>
      </c>
    </row>
    <row r="772">
      <c r="B772" s="18" t="str">
        <f>IF(A772="","",A772/Inputs!$C$4)</f>
        <v/>
      </c>
      <c r="C772" s="18" t="str">
        <f>IF(A772="","",(Inputs!$C$3*Inputs!$C$2)/Inputs!$C$4)</f>
        <v/>
      </c>
      <c r="D772" s="18" t="str">
        <f>IF(A772 = MAX($A$2:A1000), Inputs!$C$2, "")</f>
        <v/>
      </c>
      <c r="E772" s="18" t="str">
        <f t="shared" si="1"/>
        <v/>
      </c>
    </row>
    <row r="773">
      <c r="B773" s="18" t="str">
        <f>IF(A773="","",A773/Inputs!$C$4)</f>
        <v/>
      </c>
      <c r="C773" s="18" t="str">
        <f>IF(A773="","",(Inputs!$C$3*Inputs!$C$2)/Inputs!$C$4)</f>
        <v/>
      </c>
      <c r="D773" s="18" t="str">
        <f>IF(A773 = MAX($A$2:A1000), Inputs!$C$2, "")</f>
        <v/>
      </c>
      <c r="E773" s="18" t="str">
        <f t="shared" si="1"/>
        <v/>
      </c>
    </row>
    <row r="774">
      <c r="B774" s="18" t="str">
        <f>IF(A774="","",A774/Inputs!$C$4)</f>
        <v/>
      </c>
      <c r="C774" s="18" t="str">
        <f>IF(A774="","",(Inputs!$C$3*Inputs!$C$2)/Inputs!$C$4)</f>
        <v/>
      </c>
      <c r="D774" s="18" t="str">
        <f>IF(A774 = MAX($A$2:A1000), Inputs!$C$2, "")</f>
        <v/>
      </c>
      <c r="E774" s="18" t="str">
        <f t="shared" si="1"/>
        <v/>
      </c>
    </row>
    <row r="775">
      <c r="B775" s="18" t="str">
        <f>IF(A775="","",A775/Inputs!$C$4)</f>
        <v/>
      </c>
      <c r="C775" s="18" t="str">
        <f>IF(A775="","",(Inputs!$C$3*Inputs!$C$2)/Inputs!$C$4)</f>
        <v/>
      </c>
      <c r="D775" s="18" t="str">
        <f>IF(A775 = MAX($A$2:A1000), Inputs!$C$2, "")</f>
        <v/>
      </c>
      <c r="E775" s="18" t="str">
        <f t="shared" si="1"/>
        <v/>
      </c>
    </row>
    <row r="776">
      <c r="B776" s="18" t="str">
        <f>IF(A776="","",A776/Inputs!$C$4)</f>
        <v/>
      </c>
      <c r="C776" s="18" t="str">
        <f>IF(A776="","",(Inputs!$C$3*Inputs!$C$2)/Inputs!$C$4)</f>
        <v/>
      </c>
      <c r="D776" s="18" t="str">
        <f>IF(A776 = MAX($A$2:A1000), Inputs!$C$2, "")</f>
        <v/>
      </c>
      <c r="E776" s="18" t="str">
        <f t="shared" si="1"/>
        <v/>
      </c>
    </row>
    <row r="777">
      <c r="B777" s="18" t="str">
        <f>IF(A777="","",A777/Inputs!$C$4)</f>
        <v/>
      </c>
      <c r="C777" s="18" t="str">
        <f>IF(A777="","",(Inputs!$C$3*Inputs!$C$2)/Inputs!$C$4)</f>
        <v/>
      </c>
      <c r="D777" s="18" t="str">
        <f>IF(A777 = MAX($A$2:A1000), Inputs!$C$2, "")</f>
        <v/>
      </c>
      <c r="E777" s="18" t="str">
        <f t="shared" si="1"/>
        <v/>
      </c>
    </row>
    <row r="778">
      <c r="B778" s="18" t="str">
        <f>IF(A778="","",A778/Inputs!$C$4)</f>
        <v/>
      </c>
      <c r="C778" s="18" t="str">
        <f>IF(A778="","",(Inputs!$C$3*Inputs!$C$2)/Inputs!$C$4)</f>
        <v/>
      </c>
      <c r="D778" s="18" t="str">
        <f>IF(A778 = MAX($A$2:A1000), Inputs!$C$2, "")</f>
        <v/>
      </c>
      <c r="E778" s="18" t="str">
        <f t="shared" si="1"/>
        <v/>
      </c>
    </row>
    <row r="779">
      <c r="B779" s="18" t="str">
        <f>IF(A779="","",A779/Inputs!$C$4)</f>
        <v/>
      </c>
      <c r="C779" s="18" t="str">
        <f>IF(A779="","",(Inputs!$C$3*Inputs!$C$2)/Inputs!$C$4)</f>
        <v/>
      </c>
      <c r="D779" s="18" t="str">
        <f>IF(A779 = MAX($A$2:A1000), Inputs!$C$2, "")</f>
        <v/>
      </c>
      <c r="E779" s="18" t="str">
        <f t="shared" si="1"/>
        <v/>
      </c>
    </row>
    <row r="780">
      <c r="B780" s="18" t="str">
        <f>IF(A780="","",A780/Inputs!$C$4)</f>
        <v/>
      </c>
      <c r="C780" s="18" t="str">
        <f>IF(A780="","",(Inputs!$C$3*Inputs!$C$2)/Inputs!$C$4)</f>
        <v/>
      </c>
      <c r="D780" s="18" t="str">
        <f>IF(A780 = MAX($A$2:A1000), Inputs!$C$2, "")</f>
        <v/>
      </c>
      <c r="E780" s="18" t="str">
        <f t="shared" si="1"/>
        <v/>
      </c>
    </row>
    <row r="781">
      <c r="B781" s="18" t="str">
        <f>IF(A781="","",A781/Inputs!$C$4)</f>
        <v/>
      </c>
      <c r="C781" s="18" t="str">
        <f>IF(A781="","",(Inputs!$C$3*Inputs!$C$2)/Inputs!$C$4)</f>
        <v/>
      </c>
      <c r="D781" s="18" t="str">
        <f>IF(A781 = MAX($A$2:A1000), Inputs!$C$2, "")</f>
        <v/>
      </c>
      <c r="E781" s="18" t="str">
        <f t="shared" si="1"/>
        <v/>
      </c>
    </row>
    <row r="782">
      <c r="B782" s="18" t="str">
        <f>IF(A782="","",A782/Inputs!$C$4)</f>
        <v/>
      </c>
      <c r="C782" s="18" t="str">
        <f>IF(A782="","",(Inputs!$C$3*Inputs!$C$2)/Inputs!$C$4)</f>
        <v/>
      </c>
      <c r="D782" s="18" t="str">
        <f>IF(A782 = MAX($A$2:A1000), Inputs!$C$2, "")</f>
        <v/>
      </c>
      <c r="E782" s="18" t="str">
        <f t="shared" si="1"/>
        <v/>
      </c>
    </row>
    <row r="783">
      <c r="B783" s="18" t="str">
        <f>IF(A783="","",A783/Inputs!$C$4)</f>
        <v/>
      </c>
      <c r="C783" s="18" t="str">
        <f>IF(A783="","",(Inputs!$C$3*Inputs!$C$2)/Inputs!$C$4)</f>
        <v/>
      </c>
      <c r="D783" s="18" t="str">
        <f>IF(A783 = MAX($A$2:A1000), Inputs!$C$2, "")</f>
        <v/>
      </c>
      <c r="E783" s="18" t="str">
        <f t="shared" si="1"/>
        <v/>
      </c>
    </row>
    <row r="784">
      <c r="B784" s="18" t="str">
        <f>IF(A784="","",A784/Inputs!$C$4)</f>
        <v/>
      </c>
      <c r="C784" s="18" t="str">
        <f>IF(A784="","",(Inputs!$C$3*Inputs!$C$2)/Inputs!$C$4)</f>
        <v/>
      </c>
      <c r="D784" s="18" t="str">
        <f>IF(A784 = MAX($A$2:A1000), Inputs!$C$2, "")</f>
        <v/>
      </c>
      <c r="E784" s="18" t="str">
        <f t="shared" si="1"/>
        <v/>
      </c>
    </row>
    <row r="785">
      <c r="B785" s="18" t="str">
        <f>IF(A785="","",A785/Inputs!$C$4)</f>
        <v/>
      </c>
      <c r="C785" s="18" t="str">
        <f>IF(A785="","",(Inputs!$C$3*Inputs!$C$2)/Inputs!$C$4)</f>
        <v/>
      </c>
      <c r="D785" s="18" t="str">
        <f>IF(A785 = MAX($A$2:A1000), Inputs!$C$2, "")</f>
        <v/>
      </c>
      <c r="E785" s="18" t="str">
        <f t="shared" si="1"/>
        <v/>
      </c>
    </row>
    <row r="786">
      <c r="B786" s="18" t="str">
        <f>IF(A786="","",A786/Inputs!$C$4)</f>
        <v/>
      </c>
      <c r="C786" s="18" t="str">
        <f>IF(A786="","",(Inputs!$C$3*Inputs!$C$2)/Inputs!$C$4)</f>
        <v/>
      </c>
      <c r="D786" s="18" t="str">
        <f>IF(A786 = MAX($A$2:A1000), Inputs!$C$2, "")</f>
        <v/>
      </c>
      <c r="E786" s="18" t="str">
        <f t="shared" si="1"/>
        <v/>
      </c>
    </row>
    <row r="787">
      <c r="B787" s="18" t="str">
        <f>IF(A787="","",A787/Inputs!$C$4)</f>
        <v/>
      </c>
      <c r="C787" s="18" t="str">
        <f>IF(A787="","",(Inputs!$C$3*Inputs!$C$2)/Inputs!$C$4)</f>
        <v/>
      </c>
      <c r="D787" s="18" t="str">
        <f>IF(A787 = MAX($A$2:A1000), Inputs!$C$2, "")</f>
        <v/>
      </c>
      <c r="E787" s="18" t="str">
        <f t="shared" si="1"/>
        <v/>
      </c>
    </row>
    <row r="788">
      <c r="B788" s="18" t="str">
        <f>IF(A788="","",A788/Inputs!$C$4)</f>
        <v/>
      </c>
      <c r="C788" s="18" t="str">
        <f>IF(A788="","",(Inputs!$C$3*Inputs!$C$2)/Inputs!$C$4)</f>
        <v/>
      </c>
      <c r="D788" s="18" t="str">
        <f>IF(A788 = MAX($A$2:A1000), Inputs!$C$2, "")</f>
        <v/>
      </c>
      <c r="E788" s="18" t="str">
        <f t="shared" si="1"/>
        <v/>
      </c>
    </row>
    <row r="789">
      <c r="B789" s="18" t="str">
        <f>IF(A789="","",A789/Inputs!$C$4)</f>
        <v/>
      </c>
      <c r="C789" s="18" t="str">
        <f>IF(A789="","",(Inputs!$C$3*Inputs!$C$2)/Inputs!$C$4)</f>
        <v/>
      </c>
      <c r="D789" s="18" t="str">
        <f>IF(A789 = MAX($A$2:A1000), Inputs!$C$2, "")</f>
        <v/>
      </c>
      <c r="E789" s="18" t="str">
        <f t="shared" si="1"/>
        <v/>
      </c>
    </row>
    <row r="790">
      <c r="B790" s="18" t="str">
        <f>IF(A790="","",A790/Inputs!$C$4)</f>
        <v/>
      </c>
      <c r="C790" s="18" t="str">
        <f>IF(A790="","",(Inputs!$C$3*Inputs!$C$2)/Inputs!$C$4)</f>
        <v/>
      </c>
      <c r="D790" s="18" t="str">
        <f>IF(A790 = MAX($A$2:A1000), Inputs!$C$2, "")</f>
        <v/>
      </c>
      <c r="E790" s="18" t="str">
        <f t="shared" si="1"/>
        <v/>
      </c>
    </row>
    <row r="791">
      <c r="B791" s="18" t="str">
        <f>IF(A791="","",A791/Inputs!$C$4)</f>
        <v/>
      </c>
      <c r="C791" s="18" t="str">
        <f>IF(A791="","",(Inputs!$C$3*Inputs!$C$2)/Inputs!$C$4)</f>
        <v/>
      </c>
      <c r="D791" s="18" t="str">
        <f>IF(A791 = MAX($A$2:A1000), Inputs!$C$2, "")</f>
        <v/>
      </c>
      <c r="E791" s="18" t="str">
        <f t="shared" si="1"/>
        <v/>
      </c>
    </row>
    <row r="792">
      <c r="B792" s="18" t="str">
        <f>IF(A792="","",A792/Inputs!$C$4)</f>
        <v/>
      </c>
      <c r="C792" s="18" t="str">
        <f>IF(A792="","",(Inputs!$C$3*Inputs!$C$2)/Inputs!$C$4)</f>
        <v/>
      </c>
      <c r="D792" s="18" t="str">
        <f>IF(A792 = MAX($A$2:A1000), Inputs!$C$2, "")</f>
        <v/>
      </c>
      <c r="E792" s="18" t="str">
        <f t="shared" si="1"/>
        <v/>
      </c>
    </row>
    <row r="793">
      <c r="B793" s="18" t="str">
        <f>IF(A793="","",A793/Inputs!$C$4)</f>
        <v/>
      </c>
      <c r="C793" s="18" t="str">
        <f>IF(A793="","",(Inputs!$C$3*Inputs!$C$2)/Inputs!$C$4)</f>
        <v/>
      </c>
      <c r="D793" s="18" t="str">
        <f>IF(A793 = MAX($A$2:A1000), Inputs!$C$2, "")</f>
        <v/>
      </c>
      <c r="E793" s="18" t="str">
        <f t="shared" si="1"/>
        <v/>
      </c>
    </row>
    <row r="794">
      <c r="B794" s="18" t="str">
        <f>IF(A794="","",A794/Inputs!$C$4)</f>
        <v/>
      </c>
      <c r="C794" s="18" t="str">
        <f>IF(A794="","",(Inputs!$C$3*Inputs!$C$2)/Inputs!$C$4)</f>
        <v/>
      </c>
      <c r="D794" s="18" t="str">
        <f>IF(A794 = MAX($A$2:A1000), Inputs!$C$2, "")</f>
        <v/>
      </c>
      <c r="E794" s="18" t="str">
        <f t="shared" si="1"/>
        <v/>
      </c>
    </row>
    <row r="795">
      <c r="B795" s="18" t="str">
        <f>IF(A795="","",A795/Inputs!$C$4)</f>
        <v/>
      </c>
      <c r="C795" s="18" t="str">
        <f>IF(A795="","",(Inputs!$C$3*Inputs!$C$2)/Inputs!$C$4)</f>
        <v/>
      </c>
      <c r="D795" s="18" t="str">
        <f>IF(A795 = MAX($A$2:A1000), Inputs!$C$2, "")</f>
        <v/>
      </c>
      <c r="E795" s="18" t="str">
        <f t="shared" si="1"/>
        <v/>
      </c>
    </row>
    <row r="796">
      <c r="B796" s="18" t="str">
        <f>IF(A796="","",A796/Inputs!$C$4)</f>
        <v/>
      </c>
      <c r="C796" s="18" t="str">
        <f>IF(A796="","",(Inputs!$C$3*Inputs!$C$2)/Inputs!$C$4)</f>
        <v/>
      </c>
      <c r="D796" s="18" t="str">
        <f>IF(A796 = MAX($A$2:A1000), Inputs!$C$2, "")</f>
        <v/>
      </c>
      <c r="E796" s="18" t="str">
        <f t="shared" si="1"/>
        <v/>
      </c>
    </row>
    <row r="797">
      <c r="B797" s="18" t="str">
        <f>IF(A797="","",A797/Inputs!$C$4)</f>
        <v/>
      </c>
      <c r="C797" s="18" t="str">
        <f>IF(A797="","",(Inputs!$C$3*Inputs!$C$2)/Inputs!$C$4)</f>
        <v/>
      </c>
      <c r="D797" s="18" t="str">
        <f>IF(A797 = MAX($A$2:A1000), Inputs!$C$2, "")</f>
        <v/>
      </c>
      <c r="E797" s="18" t="str">
        <f t="shared" si="1"/>
        <v/>
      </c>
    </row>
    <row r="798">
      <c r="B798" s="18" t="str">
        <f>IF(A798="","",A798/Inputs!$C$4)</f>
        <v/>
      </c>
      <c r="C798" s="18" t="str">
        <f>IF(A798="","",(Inputs!$C$3*Inputs!$C$2)/Inputs!$C$4)</f>
        <v/>
      </c>
      <c r="D798" s="18" t="str">
        <f>IF(A798 = MAX($A$2:A1000), Inputs!$C$2, "")</f>
        <v/>
      </c>
      <c r="E798" s="18" t="str">
        <f t="shared" si="1"/>
        <v/>
      </c>
    </row>
    <row r="799">
      <c r="B799" s="18" t="str">
        <f>IF(A799="","",A799/Inputs!$C$4)</f>
        <v/>
      </c>
      <c r="C799" s="18" t="str">
        <f>IF(A799="","",(Inputs!$C$3*Inputs!$C$2)/Inputs!$C$4)</f>
        <v/>
      </c>
      <c r="D799" s="18" t="str">
        <f>IF(A799 = MAX($A$2:A1000), Inputs!$C$2, "")</f>
        <v/>
      </c>
      <c r="E799" s="18" t="str">
        <f t="shared" si="1"/>
        <v/>
      </c>
    </row>
    <row r="800">
      <c r="B800" s="18" t="str">
        <f>IF(A800="","",A800/Inputs!$C$4)</f>
        <v/>
      </c>
      <c r="C800" s="18" t="str">
        <f>IF(A800="","",(Inputs!$C$3*Inputs!$C$2)/Inputs!$C$4)</f>
        <v/>
      </c>
      <c r="D800" s="18" t="str">
        <f>IF(A800 = MAX($A$2:A1000), Inputs!$C$2, "")</f>
        <v/>
      </c>
      <c r="E800" s="18" t="str">
        <f t="shared" si="1"/>
        <v/>
      </c>
    </row>
    <row r="801">
      <c r="B801" s="18" t="str">
        <f>IF(A801="","",A801/Inputs!$C$4)</f>
        <v/>
      </c>
      <c r="C801" s="18" t="str">
        <f>IF(A801="","",(Inputs!$C$3*Inputs!$C$2)/Inputs!$C$4)</f>
        <v/>
      </c>
      <c r="D801" s="18" t="str">
        <f>IF(A801 = MAX($A$2:A1000), Inputs!$C$2, "")</f>
        <v/>
      </c>
      <c r="E801" s="18" t="str">
        <f t="shared" si="1"/>
        <v/>
      </c>
    </row>
    <row r="802">
      <c r="B802" s="18" t="str">
        <f>IF(A802="","",A802/Inputs!$C$4)</f>
        <v/>
      </c>
      <c r="C802" s="18" t="str">
        <f>IF(A802="","",(Inputs!$C$3*Inputs!$C$2)/Inputs!$C$4)</f>
        <v/>
      </c>
      <c r="D802" s="18" t="str">
        <f>IF(A802 = MAX($A$2:A1000), Inputs!$C$2, "")</f>
        <v/>
      </c>
      <c r="E802" s="18" t="str">
        <f t="shared" si="1"/>
        <v/>
      </c>
    </row>
    <row r="803">
      <c r="B803" s="18" t="str">
        <f>IF(A803="","",A803/Inputs!$C$4)</f>
        <v/>
      </c>
      <c r="C803" s="18" t="str">
        <f>IF(A803="","",(Inputs!$C$3*Inputs!$C$2)/Inputs!$C$4)</f>
        <v/>
      </c>
      <c r="D803" s="18" t="str">
        <f>IF(A803 = MAX($A$2:A1000), Inputs!$C$2, "")</f>
        <v/>
      </c>
      <c r="E803" s="18" t="str">
        <f t="shared" si="1"/>
        <v/>
      </c>
    </row>
    <row r="804">
      <c r="B804" s="18" t="str">
        <f>IF(A804="","",A804/Inputs!$C$4)</f>
        <v/>
      </c>
      <c r="C804" s="18" t="str">
        <f>IF(A804="","",(Inputs!$C$3*Inputs!$C$2)/Inputs!$C$4)</f>
        <v/>
      </c>
      <c r="D804" s="18" t="str">
        <f>IF(A804 = MAX($A$2:A1000), Inputs!$C$2, "")</f>
        <v/>
      </c>
      <c r="E804" s="18" t="str">
        <f t="shared" si="1"/>
        <v/>
      </c>
    </row>
    <row r="805">
      <c r="B805" s="18" t="str">
        <f>IF(A805="","",A805/Inputs!$C$4)</f>
        <v/>
      </c>
      <c r="C805" s="18" t="str">
        <f>IF(A805="","",(Inputs!$C$3*Inputs!$C$2)/Inputs!$C$4)</f>
        <v/>
      </c>
      <c r="D805" s="18" t="str">
        <f>IF(A805 = MAX($A$2:A1000), Inputs!$C$2, "")</f>
        <v/>
      </c>
      <c r="E805" s="18" t="str">
        <f t="shared" si="1"/>
        <v/>
      </c>
    </row>
    <row r="806">
      <c r="B806" s="18" t="str">
        <f>IF(A806="","",A806/Inputs!$C$4)</f>
        <v/>
      </c>
      <c r="C806" s="18" t="str">
        <f>IF(A806="","",(Inputs!$C$3*Inputs!$C$2)/Inputs!$C$4)</f>
        <v/>
      </c>
      <c r="D806" s="18" t="str">
        <f>IF(A806 = MAX($A$2:A1000), Inputs!$C$2, "")</f>
        <v/>
      </c>
      <c r="E806" s="18" t="str">
        <f t="shared" si="1"/>
        <v/>
      </c>
    </row>
    <row r="807">
      <c r="B807" s="18" t="str">
        <f>IF(A807="","",A807/Inputs!$C$4)</f>
        <v/>
      </c>
      <c r="C807" s="18" t="str">
        <f>IF(A807="","",(Inputs!$C$3*Inputs!$C$2)/Inputs!$C$4)</f>
        <v/>
      </c>
      <c r="D807" s="18" t="str">
        <f>IF(A807 = MAX($A$2:A1000), Inputs!$C$2, "")</f>
        <v/>
      </c>
      <c r="E807" s="18" t="str">
        <f t="shared" si="1"/>
        <v/>
      </c>
    </row>
    <row r="808">
      <c r="B808" s="18" t="str">
        <f>IF(A808="","",A808/Inputs!$C$4)</f>
        <v/>
      </c>
      <c r="C808" s="18" t="str">
        <f>IF(A808="","",(Inputs!$C$3*Inputs!$C$2)/Inputs!$C$4)</f>
        <v/>
      </c>
      <c r="D808" s="18" t="str">
        <f>IF(A808 = MAX($A$2:A1000), Inputs!$C$2, "")</f>
        <v/>
      </c>
      <c r="E808" s="18" t="str">
        <f t="shared" si="1"/>
        <v/>
      </c>
    </row>
    <row r="809">
      <c r="B809" s="18" t="str">
        <f>IF(A809="","",A809/Inputs!$C$4)</f>
        <v/>
      </c>
      <c r="C809" s="18" t="str">
        <f>IF(A809="","",(Inputs!$C$3*Inputs!$C$2)/Inputs!$C$4)</f>
        <v/>
      </c>
      <c r="D809" s="18" t="str">
        <f>IF(A809 = MAX($A$2:A1000), Inputs!$C$2, "")</f>
        <v/>
      </c>
      <c r="E809" s="18" t="str">
        <f t="shared" si="1"/>
        <v/>
      </c>
    </row>
    <row r="810">
      <c r="B810" s="18" t="str">
        <f>IF(A810="","",A810/Inputs!$C$4)</f>
        <v/>
      </c>
      <c r="C810" s="18" t="str">
        <f>IF(A810="","",(Inputs!$C$3*Inputs!$C$2)/Inputs!$C$4)</f>
        <v/>
      </c>
      <c r="D810" s="18" t="str">
        <f>IF(A810 = MAX($A$2:A1000), Inputs!$C$2, "")</f>
        <v/>
      </c>
      <c r="E810" s="18" t="str">
        <f t="shared" si="1"/>
        <v/>
      </c>
    </row>
    <row r="811">
      <c r="B811" s="18" t="str">
        <f>IF(A811="","",A811/Inputs!$C$4)</f>
        <v/>
      </c>
      <c r="C811" s="18" t="str">
        <f>IF(A811="","",(Inputs!$C$3*Inputs!$C$2)/Inputs!$C$4)</f>
        <v/>
      </c>
      <c r="D811" s="18" t="str">
        <f>IF(A811 = MAX($A$2:A1000), Inputs!$C$2, "")</f>
        <v/>
      </c>
      <c r="E811" s="18" t="str">
        <f t="shared" si="1"/>
        <v/>
      </c>
    </row>
    <row r="812">
      <c r="B812" s="18" t="str">
        <f>IF(A812="","",A812/Inputs!$C$4)</f>
        <v/>
      </c>
      <c r="C812" s="18" t="str">
        <f>IF(A812="","",(Inputs!$C$3*Inputs!$C$2)/Inputs!$C$4)</f>
        <v/>
      </c>
      <c r="D812" s="18" t="str">
        <f>IF(A812 = MAX($A$2:A1000), Inputs!$C$2, "")</f>
        <v/>
      </c>
      <c r="E812" s="18" t="str">
        <f t="shared" si="1"/>
        <v/>
      </c>
    </row>
    <row r="813">
      <c r="B813" s="18" t="str">
        <f>IF(A813="","",A813/Inputs!$C$4)</f>
        <v/>
      </c>
      <c r="C813" s="18" t="str">
        <f>IF(A813="","",(Inputs!$C$3*Inputs!$C$2)/Inputs!$C$4)</f>
        <v/>
      </c>
      <c r="D813" s="18" t="str">
        <f>IF(A813 = MAX($A$2:A1000), Inputs!$C$2, "")</f>
        <v/>
      </c>
      <c r="E813" s="18" t="str">
        <f t="shared" si="1"/>
        <v/>
      </c>
    </row>
    <row r="814">
      <c r="B814" s="18" t="str">
        <f>IF(A814="","",A814/Inputs!$C$4)</f>
        <v/>
      </c>
      <c r="C814" s="18" t="str">
        <f>IF(A814="","",(Inputs!$C$3*Inputs!$C$2)/Inputs!$C$4)</f>
        <v/>
      </c>
      <c r="D814" s="18" t="str">
        <f>IF(A814 = MAX($A$2:A1000), Inputs!$C$2, "")</f>
        <v/>
      </c>
      <c r="E814" s="18" t="str">
        <f t="shared" si="1"/>
        <v/>
      </c>
    </row>
    <row r="815">
      <c r="B815" s="18" t="str">
        <f>IF(A815="","",A815/Inputs!$C$4)</f>
        <v/>
      </c>
      <c r="C815" s="18" t="str">
        <f>IF(A815="","",(Inputs!$C$3*Inputs!$C$2)/Inputs!$C$4)</f>
        <v/>
      </c>
      <c r="D815" s="18" t="str">
        <f>IF(A815 = MAX($A$2:A1000), Inputs!$C$2, "")</f>
        <v/>
      </c>
      <c r="E815" s="18" t="str">
        <f t="shared" si="1"/>
        <v/>
      </c>
    </row>
    <row r="816">
      <c r="B816" s="18" t="str">
        <f>IF(A816="","",A816/Inputs!$C$4)</f>
        <v/>
      </c>
      <c r="C816" s="18" t="str">
        <f>IF(A816="","",(Inputs!$C$3*Inputs!$C$2)/Inputs!$C$4)</f>
        <v/>
      </c>
      <c r="D816" s="18" t="str">
        <f>IF(A816 = MAX($A$2:A1000), Inputs!$C$2, "")</f>
        <v/>
      </c>
      <c r="E816" s="18" t="str">
        <f t="shared" si="1"/>
        <v/>
      </c>
    </row>
    <row r="817">
      <c r="B817" s="18" t="str">
        <f>IF(A817="","",A817/Inputs!$C$4)</f>
        <v/>
      </c>
      <c r="C817" s="18" t="str">
        <f>IF(A817="","",(Inputs!$C$3*Inputs!$C$2)/Inputs!$C$4)</f>
        <v/>
      </c>
      <c r="D817" s="18" t="str">
        <f>IF(A817 = MAX($A$2:A1000), Inputs!$C$2, "")</f>
        <v/>
      </c>
      <c r="E817" s="18" t="str">
        <f t="shared" si="1"/>
        <v/>
      </c>
    </row>
    <row r="818">
      <c r="B818" s="18" t="str">
        <f>IF(A818="","",A818/Inputs!$C$4)</f>
        <v/>
      </c>
      <c r="C818" s="18" t="str">
        <f>IF(A818="","",(Inputs!$C$3*Inputs!$C$2)/Inputs!$C$4)</f>
        <v/>
      </c>
      <c r="D818" s="18" t="str">
        <f>IF(A818 = MAX($A$2:A1000), Inputs!$C$2, "")</f>
        <v/>
      </c>
      <c r="E818" s="18" t="str">
        <f t="shared" si="1"/>
        <v/>
      </c>
    </row>
    <row r="819">
      <c r="B819" s="18" t="str">
        <f>IF(A819="","",A819/Inputs!$C$4)</f>
        <v/>
      </c>
      <c r="C819" s="18" t="str">
        <f>IF(A819="","",(Inputs!$C$3*Inputs!$C$2)/Inputs!$C$4)</f>
        <v/>
      </c>
      <c r="D819" s="18" t="str">
        <f>IF(A819 = MAX($A$2:A1000), Inputs!$C$2, "")</f>
        <v/>
      </c>
      <c r="E819" s="18" t="str">
        <f t="shared" si="1"/>
        <v/>
      </c>
    </row>
    <row r="820">
      <c r="B820" s="18" t="str">
        <f>IF(A820="","",A820/Inputs!$C$4)</f>
        <v/>
      </c>
      <c r="C820" s="18" t="str">
        <f>IF(A820="","",(Inputs!$C$3*Inputs!$C$2)/Inputs!$C$4)</f>
        <v/>
      </c>
      <c r="D820" s="18" t="str">
        <f>IF(A820 = MAX($A$2:A1000), Inputs!$C$2, "")</f>
        <v/>
      </c>
      <c r="E820" s="18" t="str">
        <f t="shared" si="1"/>
        <v/>
      </c>
    </row>
    <row r="821">
      <c r="B821" s="18" t="str">
        <f>IF(A821="","",A821/Inputs!$C$4)</f>
        <v/>
      </c>
      <c r="C821" s="18" t="str">
        <f>IF(A821="","",(Inputs!$C$3*Inputs!$C$2)/Inputs!$C$4)</f>
        <v/>
      </c>
      <c r="D821" s="18" t="str">
        <f>IF(A821 = MAX($A$2:A1000), Inputs!$C$2, "")</f>
        <v/>
      </c>
      <c r="E821" s="18" t="str">
        <f t="shared" si="1"/>
        <v/>
      </c>
    </row>
    <row r="822">
      <c r="B822" s="18" t="str">
        <f>IF(A822="","",A822/Inputs!$C$4)</f>
        <v/>
      </c>
      <c r="C822" s="18" t="str">
        <f>IF(A822="","",(Inputs!$C$3*Inputs!$C$2)/Inputs!$C$4)</f>
        <v/>
      </c>
      <c r="D822" s="18" t="str">
        <f>IF(A822 = MAX($A$2:A1000), Inputs!$C$2, "")</f>
        <v/>
      </c>
      <c r="E822" s="18" t="str">
        <f t="shared" si="1"/>
        <v/>
      </c>
    </row>
    <row r="823">
      <c r="B823" s="18" t="str">
        <f>IF(A823="","",A823/Inputs!$C$4)</f>
        <v/>
      </c>
      <c r="C823" s="18" t="str">
        <f>IF(A823="","",(Inputs!$C$3*Inputs!$C$2)/Inputs!$C$4)</f>
        <v/>
      </c>
      <c r="D823" s="18" t="str">
        <f>IF(A823 = MAX($A$2:A1000), Inputs!$C$2, "")</f>
        <v/>
      </c>
      <c r="E823" s="18" t="str">
        <f t="shared" si="1"/>
        <v/>
      </c>
    </row>
    <row r="824">
      <c r="B824" s="18" t="str">
        <f>IF(A824="","",A824/Inputs!$C$4)</f>
        <v/>
      </c>
      <c r="C824" s="18" t="str">
        <f>IF(A824="","",(Inputs!$C$3*Inputs!$C$2)/Inputs!$C$4)</f>
        <v/>
      </c>
      <c r="D824" s="18" t="str">
        <f>IF(A824 = MAX($A$2:A1000), Inputs!$C$2, "")</f>
        <v/>
      </c>
      <c r="E824" s="18" t="str">
        <f t="shared" si="1"/>
        <v/>
      </c>
    </row>
    <row r="825">
      <c r="B825" s="18" t="str">
        <f>IF(A825="","",A825/Inputs!$C$4)</f>
        <v/>
      </c>
      <c r="C825" s="18" t="str">
        <f>IF(A825="","",(Inputs!$C$3*Inputs!$C$2)/Inputs!$C$4)</f>
        <v/>
      </c>
      <c r="D825" s="18" t="str">
        <f>IF(A825 = MAX($A$2:A1000), Inputs!$C$2, "")</f>
        <v/>
      </c>
      <c r="E825" s="18" t="str">
        <f t="shared" si="1"/>
        <v/>
      </c>
    </row>
    <row r="826">
      <c r="B826" s="18" t="str">
        <f>IF(A826="","",A826/Inputs!$C$4)</f>
        <v/>
      </c>
      <c r="C826" s="18" t="str">
        <f>IF(A826="","",(Inputs!$C$3*Inputs!$C$2)/Inputs!$C$4)</f>
        <v/>
      </c>
      <c r="D826" s="18" t="str">
        <f>IF(A826 = MAX($A$2:A1000), Inputs!$C$2, "")</f>
        <v/>
      </c>
      <c r="E826" s="18" t="str">
        <f t="shared" si="1"/>
        <v/>
      </c>
    </row>
    <row r="827">
      <c r="B827" s="18" t="str">
        <f>IF(A827="","",A827/Inputs!$C$4)</f>
        <v/>
      </c>
      <c r="C827" s="18" t="str">
        <f>IF(A827="","",(Inputs!$C$3*Inputs!$C$2)/Inputs!$C$4)</f>
        <v/>
      </c>
      <c r="D827" s="18" t="str">
        <f>IF(A827 = MAX($A$2:A1000), Inputs!$C$2, "")</f>
        <v/>
      </c>
      <c r="E827" s="18" t="str">
        <f t="shared" si="1"/>
        <v/>
      </c>
    </row>
    <row r="828">
      <c r="B828" s="18" t="str">
        <f>IF(A828="","",A828/Inputs!$C$4)</f>
        <v/>
      </c>
      <c r="C828" s="18" t="str">
        <f>IF(A828="","",(Inputs!$C$3*Inputs!$C$2)/Inputs!$C$4)</f>
        <v/>
      </c>
      <c r="D828" s="18" t="str">
        <f>IF(A828 = MAX($A$2:A1000), Inputs!$C$2, "")</f>
        <v/>
      </c>
      <c r="E828" s="18" t="str">
        <f t="shared" si="1"/>
        <v/>
      </c>
    </row>
    <row r="829">
      <c r="B829" s="18" t="str">
        <f>IF(A829="","",A829/Inputs!$C$4)</f>
        <v/>
      </c>
      <c r="C829" s="18" t="str">
        <f>IF(A829="","",(Inputs!$C$3*Inputs!$C$2)/Inputs!$C$4)</f>
        <v/>
      </c>
      <c r="D829" s="18" t="str">
        <f>IF(A829 = MAX($A$2:A1000), Inputs!$C$2, "")</f>
        <v/>
      </c>
      <c r="E829" s="18" t="str">
        <f t="shared" si="1"/>
        <v/>
      </c>
    </row>
    <row r="830">
      <c r="B830" s="18" t="str">
        <f>IF(A830="","",A830/Inputs!$C$4)</f>
        <v/>
      </c>
      <c r="C830" s="18" t="str">
        <f>IF(A830="","",(Inputs!$C$3*Inputs!$C$2)/Inputs!$C$4)</f>
        <v/>
      </c>
      <c r="D830" s="18" t="str">
        <f>IF(A830 = MAX($A$2:A1000), Inputs!$C$2, "")</f>
        <v/>
      </c>
      <c r="E830" s="18" t="str">
        <f t="shared" si="1"/>
        <v/>
      </c>
    </row>
    <row r="831">
      <c r="B831" s="18" t="str">
        <f>IF(A831="","",A831/Inputs!$C$4)</f>
        <v/>
      </c>
      <c r="C831" s="18" t="str">
        <f>IF(A831="","",(Inputs!$C$3*Inputs!$C$2)/Inputs!$C$4)</f>
        <v/>
      </c>
      <c r="D831" s="18" t="str">
        <f>IF(A831 = MAX($A$2:A1000), Inputs!$C$2, "")</f>
        <v/>
      </c>
      <c r="E831" s="18" t="str">
        <f t="shared" si="1"/>
        <v/>
      </c>
    </row>
    <row r="832">
      <c r="B832" s="18" t="str">
        <f>IF(A832="","",A832/Inputs!$C$4)</f>
        <v/>
      </c>
      <c r="C832" s="18" t="str">
        <f>IF(A832="","",(Inputs!$C$3*Inputs!$C$2)/Inputs!$C$4)</f>
        <v/>
      </c>
      <c r="D832" s="18" t="str">
        <f>IF(A832 = MAX($A$2:A1000), Inputs!$C$2, "")</f>
        <v/>
      </c>
      <c r="E832" s="18" t="str">
        <f t="shared" si="1"/>
        <v/>
      </c>
    </row>
    <row r="833">
      <c r="B833" s="18" t="str">
        <f>IF(A833="","",A833/Inputs!$C$4)</f>
        <v/>
      </c>
      <c r="C833" s="18" t="str">
        <f>IF(A833="","",(Inputs!$C$3*Inputs!$C$2)/Inputs!$C$4)</f>
        <v/>
      </c>
      <c r="D833" s="18" t="str">
        <f>IF(A833 = MAX($A$2:A1000), Inputs!$C$2, "")</f>
        <v/>
      </c>
      <c r="E833" s="18" t="str">
        <f t="shared" si="1"/>
        <v/>
      </c>
    </row>
    <row r="834">
      <c r="B834" s="18" t="str">
        <f>IF(A834="","",A834/Inputs!$C$4)</f>
        <v/>
      </c>
      <c r="C834" s="18" t="str">
        <f>IF(A834="","",(Inputs!$C$3*Inputs!$C$2)/Inputs!$C$4)</f>
        <v/>
      </c>
      <c r="D834" s="18" t="str">
        <f>IF(A834 = MAX($A$2:A1000), Inputs!$C$2, "")</f>
        <v/>
      </c>
      <c r="E834" s="18" t="str">
        <f t="shared" si="1"/>
        <v/>
      </c>
    </row>
    <row r="835">
      <c r="B835" s="18" t="str">
        <f>IF(A835="","",A835/Inputs!$C$4)</f>
        <v/>
      </c>
      <c r="C835" s="18" t="str">
        <f>IF(A835="","",(Inputs!$C$3*Inputs!$C$2)/Inputs!$C$4)</f>
        <v/>
      </c>
      <c r="D835" s="18" t="str">
        <f>IF(A835 = MAX($A$2:A1000), Inputs!$C$2, "")</f>
        <v/>
      </c>
      <c r="E835" s="18" t="str">
        <f t="shared" si="1"/>
        <v/>
      </c>
    </row>
    <row r="836">
      <c r="B836" s="18" t="str">
        <f>IF(A836="","",A836/Inputs!$C$4)</f>
        <v/>
      </c>
      <c r="C836" s="18" t="str">
        <f>IF(A836="","",(Inputs!$C$3*Inputs!$C$2)/Inputs!$C$4)</f>
        <v/>
      </c>
      <c r="D836" s="18" t="str">
        <f>IF(A836 = MAX($A$2:A1000), Inputs!$C$2, "")</f>
        <v/>
      </c>
      <c r="E836" s="18" t="str">
        <f t="shared" si="1"/>
        <v/>
      </c>
    </row>
    <row r="837">
      <c r="B837" s="18" t="str">
        <f>IF(A837="","",A837/Inputs!$C$4)</f>
        <v/>
      </c>
      <c r="C837" s="18" t="str">
        <f>IF(A837="","",(Inputs!$C$3*Inputs!$C$2)/Inputs!$C$4)</f>
        <v/>
      </c>
      <c r="D837" s="18" t="str">
        <f>IF(A837 = MAX($A$2:A1000), Inputs!$C$2, "")</f>
        <v/>
      </c>
      <c r="E837" s="18" t="str">
        <f t="shared" si="1"/>
        <v/>
      </c>
    </row>
    <row r="838">
      <c r="B838" s="18" t="str">
        <f>IF(A838="","",A838/Inputs!$C$4)</f>
        <v/>
      </c>
      <c r="C838" s="18" t="str">
        <f>IF(A838="","",(Inputs!$C$3*Inputs!$C$2)/Inputs!$C$4)</f>
        <v/>
      </c>
      <c r="D838" s="18" t="str">
        <f>IF(A838 = MAX($A$2:A1000), Inputs!$C$2, "")</f>
        <v/>
      </c>
      <c r="E838" s="18" t="str">
        <f t="shared" si="1"/>
        <v/>
      </c>
    </row>
    <row r="839">
      <c r="B839" s="18" t="str">
        <f>IF(A839="","",A839/Inputs!$C$4)</f>
        <v/>
      </c>
      <c r="C839" s="18" t="str">
        <f>IF(A839="","",(Inputs!$C$3*Inputs!$C$2)/Inputs!$C$4)</f>
        <v/>
      </c>
      <c r="D839" s="18" t="str">
        <f>IF(A839 = MAX($A$2:A1000), Inputs!$C$2, "")</f>
        <v/>
      </c>
      <c r="E839" s="18" t="str">
        <f t="shared" si="1"/>
        <v/>
      </c>
    </row>
    <row r="840">
      <c r="B840" s="18" t="str">
        <f>IF(A840="","",A840/Inputs!$C$4)</f>
        <v/>
      </c>
      <c r="C840" s="18" t="str">
        <f>IF(A840="","",(Inputs!$C$3*Inputs!$C$2)/Inputs!$C$4)</f>
        <v/>
      </c>
      <c r="D840" s="18" t="str">
        <f>IF(A840 = MAX($A$2:A1000), Inputs!$C$2, "")</f>
        <v/>
      </c>
      <c r="E840" s="18" t="str">
        <f t="shared" si="1"/>
        <v/>
      </c>
    </row>
    <row r="841">
      <c r="B841" s="18" t="str">
        <f>IF(A841="","",A841/Inputs!$C$4)</f>
        <v/>
      </c>
      <c r="C841" s="18" t="str">
        <f>IF(A841="","",(Inputs!$C$3*Inputs!$C$2)/Inputs!$C$4)</f>
        <v/>
      </c>
      <c r="D841" s="18" t="str">
        <f>IF(A841 = MAX($A$2:A1000), Inputs!$C$2, "")</f>
        <v/>
      </c>
      <c r="E841" s="18" t="str">
        <f t="shared" si="1"/>
        <v/>
      </c>
    </row>
    <row r="842">
      <c r="B842" s="18" t="str">
        <f>IF(A842="","",A842/Inputs!$C$4)</f>
        <v/>
      </c>
      <c r="C842" s="18" t="str">
        <f>IF(A842="","",(Inputs!$C$3*Inputs!$C$2)/Inputs!$C$4)</f>
        <v/>
      </c>
      <c r="D842" s="18" t="str">
        <f>IF(A842 = MAX($A$2:A1000), Inputs!$C$2, "")</f>
        <v/>
      </c>
      <c r="E842" s="18" t="str">
        <f t="shared" si="1"/>
        <v/>
      </c>
    </row>
    <row r="843">
      <c r="B843" s="18" t="str">
        <f>IF(A843="","",A843/Inputs!$C$4)</f>
        <v/>
      </c>
      <c r="C843" s="18" t="str">
        <f>IF(A843="","",(Inputs!$C$3*Inputs!$C$2)/Inputs!$C$4)</f>
        <v/>
      </c>
      <c r="D843" s="18" t="str">
        <f>IF(A843 = MAX($A$2:A1000), Inputs!$C$2, "")</f>
        <v/>
      </c>
      <c r="E843" s="18" t="str">
        <f t="shared" si="1"/>
        <v/>
      </c>
    </row>
    <row r="844">
      <c r="B844" s="18" t="str">
        <f>IF(A844="","",A844/Inputs!$C$4)</f>
        <v/>
      </c>
      <c r="C844" s="18" t="str">
        <f>IF(A844="","",(Inputs!$C$3*Inputs!$C$2)/Inputs!$C$4)</f>
        <v/>
      </c>
      <c r="D844" s="18" t="str">
        <f>IF(A844 = MAX($A$2:A1000), Inputs!$C$2, "")</f>
        <v/>
      </c>
      <c r="E844" s="18" t="str">
        <f t="shared" si="1"/>
        <v/>
      </c>
    </row>
    <row r="845">
      <c r="B845" s="18" t="str">
        <f>IF(A845="","",A845/Inputs!$C$4)</f>
        <v/>
      </c>
      <c r="C845" s="18" t="str">
        <f>IF(A845="","",(Inputs!$C$3*Inputs!$C$2)/Inputs!$C$4)</f>
        <v/>
      </c>
      <c r="D845" s="18" t="str">
        <f>IF(A845 = MAX($A$2:A1000), Inputs!$C$2, "")</f>
        <v/>
      </c>
      <c r="E845" s="18" t="str">
        <f t="shared" si="1"/>
        <v/>
      </c>
    </row>
    <row r="846">
      <c r="B846" s="18" t="str">
        <f>IF(A846="","",A846/Inputs!$C$4)</f>
        <v/>
      </c>
      <c r="C846" s="18" t="str">
        <f>IF(A846="","",(Inputs!$C$3*Inputs!$C$2)/Inputs!$C$4)</f>
        <v/>
      </c>
      <c r="D846" s="18" t="str">
        <f>IF(A846 = MAX($A$2:A1000), Inputs!$C$2, "")</f>
        <v/>
      </c>
      <c r="E846" s="18" t="str">
        <f t="shared" si="1"/>
        <v/>
      </c>
    </row>
    <row r="847">
      <c r="B847" s="18" t="str">
        <f>IF(A847="","",A847/Inputs!$C$4)</f>
        <v/>
      </c>
      <c r="C847" s="18" t="str">
        <f>IF(A847="","",(Inputs!$C$3*Inputs!$C$2)/Inputs!$C$4)</f>
        <v/>
      </c>
      <c r="D847" s="18" t="str">
        <f>IF(A847 = MAX($A$2:A1000), Inputs!$C$2, "")</f>
        <v/>
      </c>
      <c r="E847" s="18" t="str">
        <f t="shared" si="1"/>
        <v/>
      </c>
    </row>
    <row r="848">
      <c r="B848" s="18" t="str">
        <f>IF(A848="","",A848/Inputs!$C$4)</f>
        <v/>
      </c>
      <c r="C848" s="18" t="str">
        <f>IF(A848="","",(Inputs!$C$3*Inputs!$C$2)/Inputs!$C$4)</f>
        <v/>
      </c>
      <c r="D848" s="18" t="str">
        <f>IF(A848 = MAX($A$2:A1000), Inputs!$C$2, "")</f>
        <v/>
      </c>
      <c r="E848" s="18" t="str">
        <f t="shared" si="1"/>
        <v/>
      </c>
    </row>
    <row r="849">
      <c r="B849" s="18" t="str">
        <f>IF(A849="","",A849/Inputs!$C$4)</f>
        <v/>
      </c>
      <c r="C849" s="18" t="str">
        <f>IF(A849="","",(Inputs!$C$3*Inputs!$C$2)/Inputs!$C$4)</f>
        <v/>
      </c>
      <c r="D849" s="18" t="str">
        <f>IF(A849 = MAX($A$2:A1000), Inputs!$C$2, "")</f>
        <v/>
      </c>
      <c r="E849" s="18" t="str">
        <f t="shared" si="1"/>
        <v/>
      </c>
    </row>
    <row r="850">
      <c r="B850" s="18" t="str">
        <f>IF(A850="","",A850/Inputs!$C$4)</f>
        <v/>
      </c>
      <c r="C850" s="18" t="str">
        <f>IF(A850="","",(Inputs!$C$3*Inputs!$C$2)/Inputs!$C$4)</f>
        <v/>
      </c>
      <c r="D850" s="18" t="str">
        <f>IF(A850 = MAX($A$2:A1000), Inputs!$C$2, "")</f>
        <v/>
      </c>
      <c r="E850" s="18" t="str">
        <f t="shared" si="1"/>
        <v/>
      </c>
    </row>
    <row r="851">
      <c r="B851" s="18" t="str">
        <f>IF(A851="","",A851/Inputs!$C$4)</f>
        <v/>
      </c>
      <c r="C851" s="18" t="str">
        <f>IF(A851="","",(Inputs!$C$3*Inputs!$C$2)/Inputs!$C$4)</f>
        <v/>
      </c>
      <c r="D851" s="18" t="str">
        <f>IF(A851 = MAX($A$2:A1000), Inputs!$C$2, "")</f>
        <v/>
      </c>
      <c r="E851" s="18" t="str">
        <f t="shared" si="1"/>
        <v/>
      </c>
    </row>
    <row r="852">
      <c r="B852" s="18" t="str">
        <f>IF(A852="","",A852/Inputs!$C$4)</f>
        <v/>
      </c>
      <c r="C852" s="18" t="str">
        <f>IF(A852="","",(Inputs!$C$3*Inputs!$C$2)/Inputs!$C$4)</f>
        <v/>
      </c>
      <c r="D852" s="18" t="str">
        <f>IF(A852 = MAX($A$2:A1000), Inputs!$C$2, "")</f>
        <v/>
      </c>
      <c r="E852" s="18" t="str">
        <f t="shared" si="1"/>
        <v/>
      </c>
    </row>
    <row r="853">
      <c r="B853" s="18" t="str">
        <f>IF(A853="","",A853/Inputs!$C$4)</f>
        <v/>
      </c>
      <c r="C853" s="18" t="str">
        <f>IF(A853="","",(Inputs!$C$3*Inputs!$C$2)/Inputs!$C$4)</f>
        <v/>
      </c>
      <c r="D853" s="18" t="str">
        <f>IF(A853 = MAX($A$2:A1000), Inputs!$C$2, "")</f>
        <v/>
      </c>
      <c r="E853" s="18" t="str">
        <f t="shared" si="1"/>
        <v/>
      </c>
    </row>
    <row r="854">
      <c r="B854" s="18" t="str">
        <f>IF(A854="","",A854/Inputs!$C$4)</f>
        <v/>
      </c>
      <c r="C854" s="18" t="str">
        <f>IF(A854="","",(Inputs!$C$3*Inputs!$C$2)/Inputs!$C$4)</f>
        <v/>
      </c>
      <c r="D854" s="18" t="str">
        <f>IF(A854 = MAX($A$2:A1000), Inputs!$C$2, "")</f>
        <v/>
      </c>
      <c r="E854" s="18" t="str">
        <f t="shared" si="1"/>
        <v/>
      </c>
    </row>
    <row r="855">
      <c r="B855" s="18" t="str">
        <f>IF(A855="","",A855/Inputs!$C$4)</f>
        <v/>
      </c>
      <c r="C855" s="18" t="str">
        <f>IF(A855="","",(Inputs!$C$3*Inputs!$C$2)/Inputs!$C$4)</f>
        <v/>
      </c>
      <c r="D855" s="18" t="str">
        <f>IF(A855 = MAX($A$2:A1000), Inputs!$C$2, "")</f>
        <v/>
      </c>
      <c r="E855" s="18" t="str">
        <f t="shared" si="1"/>
        <v/>
      </c>
    </row>
    <row r="856">
      <c r="B856" s="18" t="str">
        <f>IF(A856="","",A856/Inputs!$C$4)</f>
        <v/>
      </c>
      <c r="C856" s="18" t="str">
        <f>IF(A856="","",(Inputs!$C$3*Inputs!$C$2)/Inputs!$C$4)</f>
        <v/>
      </c>
      <c r="D856" s="18" t="str">
        <f>IF(A856 = MAX($A$2:A1000), Inputs!$C$2, "")</f>
        <v/>
      </c>
      <c r="E856" s="18" t="str">
        <f t="shared" si="1"/>
        <v/>
      </c>
    </row>
    <row r="857">
      <c r="B857" s="18" t="str">
        <f>IF(A857="","",A857/Inputs!$C$4)</f>
        <v/>
      </c>
      <c r="C857" s="18" t="str">
        <f>IF(A857="","",(Inputs!$C$3*Inputs!$C$2)/Inputs!$C$4)</f>
        <v/>
      </c>
      <c r="D857" s="18" t="str">
        <f>IF(A857 = MAX($A$2:A1000), Inputs!$C$2, "")</f>
        <v/>
      </c>
      <c r="E857" s="18" t="str">
        <f t="shared" si="1"/>
        <v/>
      </c>
    </row>
    <row r="858">
      <c r="B858" s="18" t="str">
        <f>IF(A858="","",A858/Inputs!$C$4)</f>
        <v/>
      </c>
      <c r="C858" s="18" t="str">
        <f>IF(A858="","",(Inputs!$C$3*Inputs!$C$2)/Inputs!$C$4)</f>
        <v/>
      </c>
      <c r="D858" s="18" t="str">
        <f>IF(A858 = MAX($A$2:A1000), Inputs!$C$2, "")</f>
        <v/>
      </c>
      <c r="E858" s="18" t="str">
        <f t="shared" si="1"/>
        <v/>
      </c>
    </row>
    <row r="859">
      <c r="B859" s="18" t="str">
        <f>IF(A859="","",A859/Inputs!$C$4)</f>
        <v/>
      </c>
      <c r="C859" s="18" t="str">
        <f>IF(A859="","",(Inputs!$C$3*Inputs!$C$2)/Inputs!$C$4)</f>
        <v/>
      </c>
      <c r="D859" s="18" t="str">
        <f>IF(A859 = MAX($A$2:A1000), Inputs!$C$2, "")</f>
        <v/>
      </c>
      <c r="E859" s="18" t="str">
        <f t="shared" si="1"/>
        <v/>
      </c>
    </row>
    <row r="860">
      <c r="B860" s="18" t="str">
        <f>IF(A860="","",A860/Inputs!$C$4)</f>
        <v/>
      </c>
      <c r="C860" s="18" t="str">
        <f>IF(A860="","",(Inputs!$C$3*Inputs!$C$2)/Inputs!$C$4)</f>
        <v/>
      </c>
      <c r="D860" s="18" t="str">
        <f>IF(A860 = MAX($A$2:A1000), Inputs!$C$2, "")</f>
        <v/>
      </c>
      <c r="E860" s="18" t="str">
        <f t="shared" si="1"/>
        <v/>
      </c>
    </row>
    <row r="861">
      <c r="B861" s="18" t="str">
        <f>IF(A861="","",A861/Inputs!$C$4)</f>
        <v/>
      </c>
      <c r="C861" s="18" t="str">
        <f>IF(A861="","",(Inputs!$C$3*Inputs!$C$2)/Inputs!$C$4)</f>
        <v/>
      </c>
      <c r="D861" s="18" t="str">
        <f>IF(A861 = MAX($A$2:A1000), Inputs!$C$2, "")</f>
        <v/>
      </c>
      <c r="E861" s="18" t="str">
        <f t="shared" si="1"/>
        <v/>
      </c>
    </row>
    <row r="862">
      <c r="B862" s="18" t="str">
        <f>IF(A862="","",A862/Inputs!$C$4)</f>
        <v/>
      </c>
      <c r="C862" s="18" t="str">
        <f>IF(A862="","",(Inputs!$C$3*Inputs!$C$2)/Inputs!$C$4)</f>
        <v/>
      </c>
      <c r="D862" s="18" t="str">
        <f>IF(A862 = MAX($A$2:A1000), Inputs!$C$2, "")</f>
        <v/>
      </c>
      <c r="E862" s="18" t="str">
        <f t="shared" si="1"/>
        <v/>
      </c>
    </row>
    <row r="863">
      <c r="B863" s="18" t="str">
        <f>IF(A863="","",A863/Inputs!$C$4)</f>
        <v/>
      </c>
      <c r="C863" s="18" t="str">
        <f>IF(A863="","",(Inputs!$C$3*Inputs!$C$2)/Inputs!$C$4)</f>
        <v/>
      </c>
      <c r="D863" s="18" t="str">
        <f>IF(A863 = MAX($A$2:A1000), Inputs!$C$2, "")</f>
        <v/>
      </c>
      <c r="E863" s="18" t="str">
        <f t="shared" si="1"/>
        <v/>
      </c>
    </row>
    <row r="864">
      <c r="B864" s="18" t="str">
        <f>IF(A864="","",A864/Inputs!$C$4)</f>
        <v/>
      </c>
      <c r="C864" s="18" t="str">
        <f>IF(A864="","",(Inputs!$C$3*Inputs!$C$2)/Inputs!$C$4)</f>
        <v/>
      </c>
      <c r="D864" s="18" t="str">
        <f>IF(A864 = MAX($A$2:A1000), Inputs!$C$2, "")</f>
        <v/>
      </c>
      <c r="E864" s="18" t="str">
        <f t="shared" si="1"/>
        <v/>
      </c>
    </row>
    <row r="865">
      <c r="B865" s="18" t="str">
        <f>IF(A865="","",A865/Inputs!$C$4)</f>
        <v/>
      </c>
      <c r="C865" s="18" t="str">
        <f>IF(A865="","",(Inputs!$C$3*Inputs!$C$2)/Inputs!$C$4)</f>
        <v/>
      </c>
      <c r="D865" s="18" t="str">
        <f>IF(A865 = MAX($A$2:A1000), Inputs!$C$2, "")</f>
        <v/>
      </c>
      <c r="E865" s="18" t="str">
        <f t="shared" si="1"/>
        <v/>
      </c>
    </row>
    <row r="866">
      <c r="B866" s="18" t="str">
        <f>IF(A866="","",A866/Inputs!$C$4)</f>
        <v/>
      </c>
      <c r="C866" s="18" t="str">
        <f>IF(A866="","",(Inputs!$C$3*Inputs!$C$2)/Inputs!$C$4)</f>
        <v/>
      </c>
      <c r="D866" s="18" t="str">
        <f>IF(A866 = MAX($A$2:A1000), Inputs!$C$2, "")</f>
        <v/>
      </c>
      <c r="E866" s="18" t="str">
        <f t="shared" si="1"/>
        <v/>
      </c>
    </row>
    <row r="867">
      <c r="B867" s="18" t="str">
        <f>IF(A867="","",A867/Inputs!$C$4)</f>
        <v/>
      </c>
      <c r="C867" s="18" t="str">
        <f>IF(A867="","",(Inputs!$C$3*Inputs!$C$2)/Inputs!$C$4)</f>
        <v/>
      </c>
      <c r="D867" s="18" t="str">
        <f>IF(A867 = MAX($A$2:A1000), Inputs!$C$2, "")</f>
        <v/>
      </c>
      <c r="E867" s="18" t="str">
        <f t="shared" si="1"/>
        <v/>
      </c>
    </row>
    <row r="868">
      <c r="B868" s="18" t="str">
        <f>IF(A868="","",A868/Inputs!$C$4)</f>
        <v/>
      </c>
      <c r="C868" s="18" t="str">
        <f>IF(A868="","",(Inputs!$C$3*Inputs!$C$2)/Inputs!$C$4)</f>
        <v/>
      </c>
      <c r="D868" s="18" t="str">
        <f>IF(A868 = MAX($A$2:A1000), Inputs!$C$2, "")</f>
        <v/>
      </c>
      <c r="E868" s="18" t="str">
        <f t="shared" si="1"/>
        <v/>
      </c>
    </row>
    <row r="869">
      <c r="B869" s="18" t="str">
        <f>IF(A869="","",A869/Inputs!$C$4)</f>
        <v/>
      </c>
      <c r="C869" s="18" t="str">
        <f>IF(A869="","",(Inputs!$C$3*Inputs!$C$2)/Inputs!$C$4)</f>
        <v/>
      </c>
      <c r="D869" s="18" t="str">
        <f>IF(A869 = MAX($A$2:A1000), Inputs!$C$2, "")</f>
        <v/>
      </c>
      <c r="E869" s="18" t="str">
        <f t="shared" si="1"/>
        <v/>
      </c>
    </row>
    <row r="870">
      <c r="B870" s="18" t="str">
        <f>IF(A870="","",A870/Inputs!$C$4)</f>
        <v/>
      </c>
      <c r="C870" s="18" t="str">
        <f>IF(A870="","",(Inputs!$C$3*Inputs!$C$2)/Inputs!$C$4)</f>
        <v/>
      </c>
      <c r="D870" s="18" t="str">
        <f>IF(A870 = MAX($A$2:A1000), Inputs!$C$2, "")</f>
        <v/>
      </c>
      <c r="E870" s="18" t="str">
        <f t="shared" si="1"/>
        <v/>
      </c>
    </row>
    <row r="871">
      <c r="B871" s="18" t="str">
        <f>IF(A871="","",A871/Inputs!$C$4)</f>
        <v/>
      </c>
      <c r="C871" s="18" t="str">
        <f>IF(A871="","",(Inputs!$C$3*Inputs!$C$2)/Inputs!$C$4)</f>
        <v/>
      </c>
      <c r="D871" s="18" t="str">
        <f>IF(A871 = MAX($A$2:A1000), Inputs!$C$2, "")</f>
        <v/>
      </c>
      <c r="E871" s="18" t="str">
        <f t="shared" si="1"/>
        <v/>
      </c>
    </row>
    <row r="872">
      <c r="B872" s="18" t="str">
        <f>IF(A872="","",A872/Inputs!$C$4)</f>
        <v/>
      </c>
      <c r="C872" s="18" t="str">
        <f>IF(A872="","",(Inputs!$C$3*Inputs!$C$2)/Inputs!$C$4)</f>
        <v/>
      </c>
      <c r="D872" s="18" t="str">
        <f>IF(A872 = MAX($A$2:A1000), Inputs!$C$2, "")</f>
        <v/>
      </c>
      <c r="E872" s="18" t="str">
        <f t="shared" si="1"/>
        <v/>
      </c>
    </row>
    <row r="873">
      <c r="B873" s="18" t="str">
        <f>IF(A873="","",A873/Inputs!$C$4)</f>
        <v/>
      </c>
      <c r="C873" s="18" t="str">
        <f>IF(A873="","",(Inputs!$C$3*Inputs!$C$2)/Inputs!$C$4)</f>
        <v/>
      </c>
      <c r="D873" s="18" t="str">
        <f>IF(A873 = MAX($A$2:A1000), Inputs!$C$2, "")</f>
        <v/>
      </c>
      <c r="E873" s="18" t="str">
        <f t="shared" si="1"/>
        <v/>
      </c>
    </row>
    <row r="874">
      <c r="B874" s="18" t="str">
        <f>IF(A874="","",A874/Inputs!$C$4)</f>
        <v/>
      </c>
      <c r="C874" s="18" t="str">
        <f>IF(A874="","",(Inputs!$C$3*Inputs!$C$2)/Inputs!$C$4)</f>
        <v/>
      </c>
      <c r="D874" s="18" t="str">
        <f>IF(A874 = MAX($A$2:A1000), Inputs!$C$2, "")</f>
        <v/>
      </c>
      <c r="E874" s="18" t="str">
        <f t="shared" si="1"/>
        <v/>
      </c>
    </row>
    <row r="875">
      <c r="B875" s="18" t="str">
        <f>IF(A875="","",A875/Inputs!$C$4)</f>
        <v/>
      </c>
      <c r="C875" s="18" t="str">
        <f>IF(A875="","",(Inputs!$C$3*Inputs!$C$2)/Inputs!$C$4)</f>
        <v/>
      </c>
      <c r="D875" s="18" t="str">
        <f>IF(A875 = MAX($A$2:A1000), Inputs!$C$2, "")</f>
        <v/>
      </c>
      <c r="E875" s="18" t="str">
        <f t="shared" si="1"/>
        <v/>
      </c>
    </row>
    <row r="876">
      <c r="B876" s="18" t="str">
        <f>IF(A876="","",A876/Inputs!$C$4)</f>
        <v/>
      </c>
      <c r="C876" s="18" t="str">
        <f>IF(A876="","",(Inputs!$C$3*Inputs!$C$2)/Inputs!$C$4)</f>
        <v/>
      </c>
      <c r="D876" s="18" t="str">
        <f>IF(A876 = MAX($A$2:A1000), Inputs!$C$2, "")</f>
        <v/>
      </c>
      <c r="E876" s="18" t="str">
        <f t="shared" si="1"/>
        <v/>
      </c>
    </row>
    <row r="877">
      <c r="B877" s="18" t="str">
        <f>IF(A877="","",A877/Inputs!$C$4)</f>
        <v/>
      </c>
      <c r="C877" s="18" t="str">
        <f>IF(A877="","",(Inputs!$C$3*Inputs!$C$2)/Inputs!$C$4)</f>
        <v/>
      </c>
      <c r="D877" s="18" t="str">
        <f>IF(A877 = MAX($A$2:A1000), Inputs!$C$2, "")</f>
        <v/>
      </c>
      <c r="E877" s="18" t="str">
        <f t="shared" si="1"/>
        <v/>
      </c>
    </row>
    <row r="878">
      <c r="B878" s="18" t="str">
        <f>IF(A878="","",A878/Inputs!$C$4)</f>
        <v/>
      </c>
      <c r="C878" s="18" t="str">
        <f>IF(A878="","",(Inputs!$C$3*Inputs!$C$2)/Inputs!$C$4)</f>
        <v/>
      </c>
      <c r="D878" s="18" t="str">
        <f>IF(A878 = MAX($A$2:A1000), Inputs!$C$2, "")</f>
        <v/>
      </c>
      <c r="E878" s="18" t="str">
        <f t="shared" si="1"/>
        <v/>
      </c>
    </row>
    <row r="879">
      <c r="B879" s="18" t="str">
        <f>IF(A879="","",A879/Inputs!$C$4)</f>
        <v/>
      </c>
      <c r="C879" s="18" t="str">
        <f>IF(A879="","",(Inputs!$C$3*Inputs!$C$2)/Inputs!$C$4)</f>
        <v/>
      </c>
      <c r="D879" s="18" t="str">
        <f>IF(A879 = MAX($A$2:A1000), Inputs!$C$2, "")</f>
        <v/>
      </c>
      <c r="E879" s="18" t="str">
        <f t="shared" si="1"/>
        <v/>
      </c>
    </row>
    <row r="880">
      <c r="B880" s="18" t="str">
        <f>IF(A880="","",A880/Inputs!$C$4)</f>
        <v/>
      </c>
      <c r="C880" s="18" t="str">
        <f>IF(A880="","",(Inputs!$C$3*Inputs!$C$2)/Inputs!$C$4)</f>
        <v/>
      </c>
      <c r="D880" s="18" t="str">
        <f>IF(A880 = MAX($A$2:A1000), Inputs!$C$2, "")</f>
        <v/>
      </c>
      <c r="E880" s="18" t="str">
        <f t="shared" si="1"/>
        <v/>
      </c>
    </row>
    <row r="881">
      <c r="B881" s="18" t="str">
        <f>IF(A881="","",A881/Inputs!$C$4)</f>
        <v/>
      </c>
      <c r="C881" s="18" t="str">
        <f>IF(A881="","",(Inputs!$C$3*Inputs!$C$2)/Inputs!$C$4)</f>
        <v/>
      </c>
      <c r="D881" s="18" t="str">
        <f>IF(A881 = MAX($A$2:A1000), Inputs!$C$2, "")</f>
        <v/>
      </c>
      <c r="E881" s="18" t="str">
        <f t="shared" si="1"/>
        <v/>
      </c>
    </row>
    <row r="882">
      <c r="B882" s="18" t="str">
        <f>IF(A882="","",A882/Inputs!$C$4)</f>
        <v/>
      </c>
      <c r="C882" s="18" t="str">
        <f>IF(A882="","",(Inputs!$C$3*Inputs!$C$2)/Inputs!$C$4)</f>
        <v/>
      </c>
      <c r="D882" s="18" t="str">
        <f>IF(A882 = MAX($A$2:A1000), Inputs!$C$2, "")</f>
        <v/>
      </c>
      <c r="E882" s="18" t="str">
        <f t="shared" si="1"/>
        <v/>
      </c>
    </row>
    <row r="883">
      <c r="B883" s="18" t="str">
        <f>IF(A883="","",A883/Inputs!$C$4)</f>
        <v/>
      </c>
      <c r="C883" s="18" t="str">
        <f>IF(A883="","",(Inputs!$C$3*Inputs!$C$2)/Inputs!$C$4)</f>
        <v/>
      </c>
      <c r="D883" s="18" t="str">
        <f>IF(A883 = MAX($A$2:A1000), Inputs!$C$2, "")</f>
        <v/>
      </c>
      <c r="E883" s="18" t="str">
        <f t="shared" si="1"/>
        <v/>
      </c>
    </row>
    <row r="884">
      <c r="B884" s="18" t="str">
        <f>IF(A884="","",A884/Inputs!$C$4)</f>
        <v/>
      </c>
      <c r="C884" s="18" t="str">
        <f>IF(A884="","",(Inputs!$C$3*Inputs!$C$2)/Inputs!$C$4)</f>
        <v/>
      </c>
      <c r="D884" s="18" t="str">
        <f>IF(A884 = MAX($A$2:A1000), Inputs!$C$2, "")</f>
        <v/>
      </c>
      <c r="E884" s="18" t="str">
        <f t="shared" si="1"/>
        <v/>
      </c>
    </row>
    <row r="885">
      <c r="B885" s="18" t="str">
        <f>IF(A885="","",A885/Inputs!$C$4)</f>
        <v/>
      </c>
      <c r="C885" s="18" t="str">
        <f>IF(A885="","",(Inputs!$C$3*Inputs!$C$2)/Inputs!$C$4)</f>
        <v/>
      </c>
      <c r="D885" s="18" t="str">
        <f>IF(A885 = MAX($A$2:A1000), Inputs!$C$2, "")</f>
        <v/>
      </c>
      <c r="E885" s="18" t="str">
        <f t="shared" si="1"/>
        <v/>
      </c>
    </row>
    <row r="886">
      <c r="B886" s="18" t="str">
        <f>IF(A886="","",A886/Inputs!$C$4)</f>
        <v/>
      </c>
      <c r="C886" s="18" t="str">
        <f>IF(A886="","",(Inputs!$C$3*Inputs!$C$2)/Inputs!$C$4)</f>
        <v/>
      </c>
      <c r="D886" s="18" t="str">
        <f>IF(A886 = MAX($A$2:A1000), Inputs!$C$2, "")</f>
        <v/>
      </c>
      <c r="E886" s="18" t="str">
        <f t="shared" si="1"/>
        <v/>
      </c>
    </row>
    <row r="887">
      <c r="B887" s="18" t="str">
        <f>IF(A887="","",A887/Inputs!$C$4)</f>
        <v/>
      </c>
      <c r="C887" s="18" t="str">
        <f>IF(A887="","",(Inputs!$C$3*Inputs!$C$2)/Inputs!$C$4)</f>
        <v/>
      </c>
      <c r="D887" s="18" t="str">
        <f>IF(A887 = MAX($A$2:A1000), Inputs!$C$2, "")</f>
        <v/>
      </c>
      <c r="E887" s="18" t="str">
        <f t="shared" si="1"/>
        <v/>
      </c>
    </row>
    <row r="888">
      <c r="B888" s="18" t="str">
        <f>IF(A888="","",A888/Inputs!$C$4)</f>
        <v/>
      </c>
      <c r="C888" s="18" t="str">
        <f>IF(A888="","",(Inputs!$C$3*Inputs!$C$2)/Inputs!$C$4)</f>
        <v/>
      </c>
      <c r="D888" s="18" t="str">
        <f>IF(A888 = MAX($A$2:A1000), Inputs!$C$2, "")</f>
        <v/>
      </c>
      <c r="E888" s="18" t="str">
        <f t="shared" si="1"/>
        <v/>
      </c>
    </row>
    <row r="889">
      <c r="B889" s="18" t="str">
        <f>IF(A889="","",A889/Inputs!$C$4)</f>
        <v/>
      </c>
      <c r="C889" s="18" t="str">
        <f>IF(A889="","",(Inputs!$C$3*Inputs!$C$2)/Inputs!$C$4)</f>
        <v/>
      </c>
      <c r="D889" s="18" t="str">
        <f>IF(A889 = MAX($A$2:A1000), Inputs!$C$2, "")</f>
        <v/>
      </c>
      <c r="E889" s="18" t="str">
        <f t="shared" si="1"/>
        <v/>
      </c>
    </row>
    <row r="890">
      <c r="B890" s="18" t="str">
        <f>IF(A890="","",A890/Inputs!$C$4)</f>
        <v/>
      </c>
      <c r="C890" s="18" t="str">
        <f>IF(A890="","",(Inputs!$C$3*Inputs!$C$2)/Inputs!$C$4)</f>
        <v/>
      </c>
      <c r="D890" s="18" t="str">
        <f>IF(A890 = MAX($A$2:A1000), Inputs!$C$2, "")</f>
        <v/>
      </c>
      <c r="E890" s="18" t="str">
        <f t="shared" si="1"/>
        <v/>
      </c>
    </row>
    <row r="891">
      <c r="B891" s="18" t="str">
        <f>IF(A891="","",A891/Inputs!$C$4)</f>
        <v/>
      </c>
      <c r="C891" s="18" t="str">
        <f>IF(A891="","",(Inputs!$C$3*Inputs!$C$2)/Inputs!$C$4)</f>
        <v/>
      </c>
      <c r="D891" s="18" t="str">
        <f>IF(A891 = MAX($A$2:A1000), Inputs!$C$2, "")</f>
        <v/>
      </c>
      <c r="E891" s="18" t="str">
        <f t="shared" si="1"/>
        <v/>
      </c>
    </row>
    <row r="892">
      <c r="B892" s="18" t="str">
        <f>IF(A892="","",A892/Inputs!$C$4)</f>
        <v/>
      </c>
      <c r="C892" s="18" t="str">
        <f>IF(A892="","",(Inputs!$C$3*Inputs!$C$2)/Inputs!$C$4)</f>
        <v/>
      </c>
      <c r="D892" s="18" t="str">
        <f>IF(A892 = MAX($A$2:A1000), Inputs!$C$2, "")</f>
        <v/>
      </c>
      <c r="E892" s="18" t="str">
        <f t="shared" si="1"/>
        <v/>
      </c>
    </row>
    <row r="893">
      <c r="B893" s="18" t="str">
        <f>IF(A893="","",A893/Inputs!$C$4)</f>
        <v/>
      </c>
      <c r="C893" s="18" t="str">
        <f>IF(A893="","",(Inputs!$C$3*Inputs!$C$2)/Inputs!$C$4)</f>
        <v/>
      </c>
      <c r="D893" s="18" t="str">
        <f>IF(A893 = MAX($A$2:A1000), Inputs!$C$2, "")</f>
        <v/>
      </c>
      <c r="E893" s="18" t="str">
        <f t="shared" si="1"/>
        <v/>
      </c>
    </row>
    <row r="894">
      <c r="B894" s="18" t="str">
        <f>IF(A894="","",A894/Inputs!$C$4)</f>
        <v/>
      </c>
      <c r="C894" s="18" t="str">
        <f>IF(A894="","",(Inputs!$C$3*Inputs!$C$2)/Inputs!$C$4)</f>
        <v/>
      </c>
      <c r="D894" s="18" t="str">
        <f>IF(A894 = MAX($A$2:A1000), Inputs!$C$2, "")</f>
        <v/>
      </c>
      <c r="E894" s="18" t="str">
        <f t="shared" si="1"/>
        <v/>
      </c>
    </row>
    <row r="895">
      <c r="B895" s="18" t="str">
        <f>IF(A895="","",A895/Inputs!$C$4)</f>
        <v/>
      </c>
      <c r="C895" s="18" t="str">
        <f>IF(A895="","",(Inputs!$C$3*Inputs!$C$2)/Inputs!$C$4)</f>
        <v/>
      </c>
      <c r="D895" s="18" t="str">
        <f>IF(A895 = MAX($A$2:A1000), Inputs!$C$2, "")</f>
        <v/>
      </c>
      <c r="E895" s="18" t="str">
        <f t="shared" si="1"/>
        <v/>
      </c>
    </row>
    <row r="896">
      <c r="B896" s="18" t="str">
        <f>IF(A896="","",A896/Inputs!$C$4)</f>
        <v/>
      </c>
      <c r="C896" s="18" t="str">
        <f>IF(A896="","",(Inputs!$C$3*Inputs!$C$2)/Inputs!$C$4)</f>
        <v/>
      </c>
      <c r="D896" s="18" t="str">
        <f>IF(A896 = MAX($A$2:A1000), Inputs!$C$2, "")</f>
        <v/>
      </c>
      <c r="E896" s="18" t="str">
        <f t="shared" si="1"/>
        <v/>
      </c>
    </row>
    <row r="897">
      <c r="B897" s="18" t="str">
        <f>IF(A897="","",A897/Inputs!$C$4)</f>
        <v/>
      </c>
      <c r="C897" s="18" t="str">
        <f>IF(A897="","",(Inputs!$C$3*Inputs!$C$2)/Inputs!$C$4)</f>
        <v/>
      </c>
      <c r="D897" s="18" t="str">
        <f>IF(A897 = MAX($A$2:A1000), Inputs!$C$2, "")</f>
        <v/>
      </c>
      <c r="E897" s="18" t="str">
        <f t="shared" si="1"/>
        <v/>
      </c>
    </row>
    <row r="898">
      <c r="B898" s="18" t="str">
        <f>IF(A898="","",A898/Inputs!$C$4)</f>
        <v/>
      </c>
      <c r="C898" s="18" t="str">
        <f>IF(A898="","",(Inputs!$C$3*Inputs!$C$2)/Inputs!$C$4)</f>
        <v/>
      </c>
      <c r="D898" s="18" t="str">
        <f>IF(A898 = MAX($A$2:A1000), Inputs!$C$2, "")</f>
        <v/>
      </c>
      <c r="E898" s="18" t="str">
        <f t="shared" si="1"/>
        <v/>
      </c>
    </row>
    <row r="899">
      <c r="B899" s="18" t="str">
        <f>IF(A899="","",A899/Inputs!$C$4)</f>
        <v/>
      </c>
      <c r="C899" s="18" t="str">
        <f>IF(A899="","",(Inputs!$C$3*Inputs!$C$2)/Inputs!$C$4)</f>
        <v/>
      </c>
      <c r="D899" s="18" t="str">
        <f>IF(A899 = MAX($A$2:A1000), Inputs!$C$2, "")</f>
        <v/>
      </c>
      <c r="E899" s="18" t="str">
        <f t="shared" si="1"/>
        <v/>
      </c>
    </row>
    <row r="900">
      <c r="B900" s="18" t="str">
        <f>IF(A900="","",A900/Inputs!$C$4)</f>
        <v/>
      </c>
      <c r="C900" s="18" t="str">
        <f>IF(A900="","",(Inputs!$C$3*Inputs!$C$2)/Inputs!$C$4)</f>
        <v/>
      </c>
      <c r="D900" s="18" t="str">
        <f>IF(A900 = MAX($A$2:A1000), Inputs!$C$2, "")</f>
        <v/>
      </c>
      <c r="E900" s="18" t="str">
        <f t="shared" si="1"/>
        <v/>
      </c>
    </row>
    <row r="901">
      <c r="B901" s="18" t="str">
        <f>IF(A901="","",A901/Inputs!$C$4)</f>
        <v/>
      </c>
      <c r="C901" s="18" t="str">
        <f>IF(A901="","",(Inputs!$C$3*Inputs!$C$2)/Inputs!$C$4)</f>
        <v/>
      </c>
      <c r="D901" s="18" t="str">
        <f>IF(A901 = MAX($A$2:A1000), Inputs!$C$2, "")</f>
        <v/>
      </c>
      <c r="E901" s="18" t="str">
        <f t="shared" si="1"/>
        <v/>
      </c>
    </row>
    <row r="902">
      <c r="B902" s="18" t="str">
        <f>IF(A902="","",A902/Inputs!$C$4)</f>
        <v/>
      </c>
      <c r="C902" s="18" t="str">
        <f>IF(A902="","",(Inputs!$C$3*Inputs!$C$2)/Inputs!$C$4)</f>
        <v/>
      </c>
      <c r="D902" s="18" t="str">
        <f>IF(A902 = MAX($A$2:A1000), Inputs!$C$2, "")</f>
        <v/>
      </c>
      <c r="E902" s="18" t="str">
        <f t="shared" si="1"/>
        <v/>
      </c>
    </row>
    <row r="903">
      <c r="B903" s="18" t="str">
        <f>IF(A903="","",A903/Inputs!$C$4)</f>
        <v/>
      </c>
      <c r="C903" s="18" t="str">
        <f>IF(A903="","",(Inputs!$C$3*Inputs!$C$2)/Inputs!$C$4)</f>
        <v/>
      </c>
      <c r="D903" s="18" t="str">
        <f>IF(A903 = MAX($A$2:A1000), Inputs!$C$2, "")</f>
        <v/>
      </c>
      <c r="E903" s="18" t="str">
        <f t="shared" si="1"/>
        <v/>
      </c>
    </row>
    <row r="904">
      <c r="B904" s="18" t="str">
        <f>IF(A904="","",A904/Inputs!$C$4)</f>
        <v/>
      </c>
      <c r="C904" s="18" t="str">
        <f>IF(A904="","",(Inputs!$C$3*Inputs!$C$2)/Inputs!$C$4)</f>
        <v/>
      </c>
      <c r="D904" s="18" t="str">
        <f>IF(A904 = MAX($A$2:A1000), Inputs!$C$2, "")</f>
        <v/>
      </c>
      <c r="E904" s="18" t="str">
        <f t="shared" si="1"/>
        <v/>
      </c>
    </row>
    <row r="905">
      <c r="B905" s="18" t="str">
        <f>IF(A905="","",A905/Inputs!$C$4)</f>
        <v/>
      </c>
      <c r="C905" s="18" t="str">
        <f>IF(A905="","",(Inputs!$C$3*Inputs!$C$2)/Inputs!$C$4)</f>
        <v/>
      </c>
      <c r="D905" s="18" t="str">
        <f>IF(A905 = MAX($A$2:A1000), Inputs!$C$2, "")</f>
        <v/>
      </c>
      <c r="E905" s="18" t="str">
        <f t="shared" si="1"/>
        <v/>
      </c>
    </row>
    <row r="906">
      <c r="B906" s="18" t="str">
        <f>IF(A906="","",A906/Inputs!$C$4)</f>
        <v/>
      </c>
      <c r="C906" s="18" t="str">
        <f>IF(A906="","",(Inputs!$C$3*Inputs!$C$2)/Inputs!$C$4)</f>
        <v/>
      </c>
      <c r="D906" s="18" t="str">
        <f>IF(A906 = MAX($A$2:A1000), Inputs!$C$2, "")</f>
        <v/>
      </c>
      <c r="E906" s="18" t="str">
        <f t="shared" si="1"/>
        <v/>
      </c>
    </row>
    <row r="907">
      <c r="B907" s="18" t="str">
        <f>IF(A907="","",A907/Inputs!$C$4)</f>
        <v/>
      </c>
      <c r="C907" s="18" t="str">
        <f>IF(A907="","",(Inputs!$C$3*Inputs!$C$2)/Inputs!$C$4)</f>
        <v/>
      </c>
      <c r="D907" s="18" t="str">
        <f>IF(A907 = MAX($A$2:A1000), Inputs!$C$2, "")</f>
        <v/>
      </c>
      <c r="E907" s="18" t="str">
        <f t="shared" si="1"/>
        <v/>
      </c>
    </row>
    <row r="908">
      <c r="B908" s="18" t="str">
        <f>IF(A908="","",A908/Inputs!$C$4)</f>
        <v/>
      </c>
      <c r="C908" s="18" t="str">
        <f>IF(A908="","",(Inputs!$C$3*Inputs!$C$2)/Inputs!$C$4)</f>
        <v/>
      </c>
      <c r="D908" s="18" t="str">
        <f>IF(A908 = MAX($A$2:A1000), Inputs!$C$2, "")</f>
        <v/>
      </c>
      <c r="E908" s="18" t="str">
        <f t="shared" si="1"/>
        <v/>
      </c>
    </row>
    <row r="909">
      <c r="B909" s="18" t="str">
        <f>IF(A909="","",A909/Inputs!$C$4)</f>
        <v/>
      </c>
      <c r="C909" s="18" t="str">
        <f>IF(A909="","",(Inputs!$C$3*Inputs!$C$2)/Inputs!$C$4)</f>
        <v/>
      </c>
      <c r="D909" s="18" t="str">
        <f>IF(A909 = MAX($A$2:A1000), Inputs!$C$2, "")</f>
        <v/>
      </c>
      <c r="E909" s="18" t="str">
        <f t="shared" si="1"/>
        <v/>
      </c>
    </row>
    <row r="910">
      <c r="B910" s="18" t="str">
        <f>IF(A910="","",A910/Inputs!$C$4)</f>
        <v/>
      </c>
      <c r="C910" s="18" t="str">
        <f>IF(A910="","",(Inputs!$C$3*Inputs!$C$2)/Inputs!$C$4)</f>
        <v/>
      </c>
      <c r="D910" s="18" t="str">
        <f>IF(A910 = MAX($A$2:A1000), Inputs!$C$2, "")</f>
        <v/>
      </c>
      <c r="E910" s="18" t="str">
        <f t="shared" si="1"/>
        <v/>
      </c>
    </row>
    <row r="911">
      <c r="B911" s="18" t="str">
        <f>IF(A911="","",A911/Inputs!$C$4)</f>
        <v/>
      </c>
      <c r="C911" s="18" t="str">
        <f>IF(A911="","",(Inputs!$C$3*Inputs!$C$2)/Inputs!$C$4)</f>
        <v/>
      </c>
      <c r="D911" s="18" t="str">
        <f>IF(A911 = MAX($A$2:A1000), Inputs!$C$2, "")</f>
        <v/>
      </c>
      <c r="E911" s="18" t="str">
        <f t="shared" si="1"/>
        <v/>
      </c>
    </row>
    <row r="912">
      <c r="B912" s="18" t="str">
        <f>IF(A912="","",A912/Inputs!$C$4)</f>
        <v/>
      </c>
      <c r="C912" s="18" t="str">
        <f>IF(A912="","",(Inputs!$C$3*Inputs!$C$2)/Inputs!$C$4)</f>
        <v/>
      </c>
      <c r="D912" s="18" t="str">
        <f>IF(A912 = MAX($A$2:A1000), Inputs!$C$2, "")</f>
        <v/>
      </c>
      <c r="E912" s="18" t="str">
        <f t="shared" si="1"/>
        <v/>
      </c>
    </row>
    <row r="913">
      <c r="B913" s="18" t="str">
        <f>IF(A913="","",A913/Inputs!$C$4)</f>
        <v/>
      </c>
      <c r="C913" s="18" t="str">
        <f>IF(A913="","",(Inputs!$C$3*Inputs!$C$2)/Inputs!$C$4)</f>
        <v/>
      </c>
      <c r="D913" s="18" t="str">
        <f>IF(A913 = MAX($A$2:A1000), Inputs!$C$2, "")</f>
        <v/>
      </c>
      <c r="E913" s="18" t="str">
        <f t="shared" si="1"/>
        <v/>
      </c>
    </row>
    <row r="914">
      <c r="B914" s="18" t="str">
        <f>IF(A914="","",A914/Inputs!$C$4)</f>
        <v/>
      </c>
      <c r="C914" s="18" t="str">
        <f>IF(A914="","",(Inputs!$C$3*Inputs!$C$2)/Inputs!$C$4)</f>
        <v/>
      </c>
      <c r="D914" s="18" t="str">
        <f>IF(A914 = MAX($A$2:A1000), Inputs!$C$2, "")</f>
        <v/>
      </c>
      <c r="E914" s="18" t="str">
        <f t="shared" si="1"/>
        <v/>
      </c>
    </row>
    <row r="915">
      <c r="B915" s="18" t="str">
        <f>IF(A915="","",A915/Inputs!$C$4)</f>
        <v/>
      </c>
      <c r="C915" s="18" t="str">
        <f>IF(A915="","",(Inputs!$C$3*Inputs!$C$2)/Inputs!$C$4)</f>
        <v/>
      </c>
      <c r="D915" s="18" t="str">
        <f>IF(A915 = MAX($A$2:A1000), Inputs!$C$2, "")</f>
        <v/>
      </c>
      <c r="E915" s="18" t="str">
        <f t="shared" si="1"/>
        <v/>
      </c>
    </row>
    <row r="916">
      <c r="B916" s="18" t="str">
        <f>IF(A916="","",A916/Inputs!$C$4)</f>
        <v/>
      </c>
      <c r="C916" s="18" t="str">
        <f>IF(A916="","",(Inputs!$C$3*Inputs!$C$2)/Inputs!$C$4)</f>
        <v/>
      </c>
      <c r="D916" s="18" t="str">
        <f>IF(A916 = MAX($A$2:A1000), Inputs!$C$2, "")</f>
        <v/>
      </c>
      <c r="E916" s="18" t="str">
        <f t="shared" si="1"/>
        <v/>
      </c>
    </row>
    <row r="917">
      <c r="B917" s="18" t="str">
        <f>IF(A917="","",A917/Inputs!$C$4)</f>
        <v/>
      </c>
      <c r="C917" s="18" t="str">
        <f>IF(A917="","",(Inputs!$C$3*Inputs!$C$2)/Inputs!$C$4)</f>
        <v/>
      </c>
      <c r="D917" s="18" t="str">
        <f>IF(A917 = MAX($A$2:A1000), Inputs!$C$2, "")</f>
        <v/>
      </c>
      <c r="E917" s="18" t="str">
        <f t="shared" si="1"/>
        <v/>
      </c>
    </row>
    <row r="918">
      <c r="B918" s="18" t="str">
        <f>IF(A918="","",A918/Inputs!$C$4)</f>
        <v/>
      </c>
      <c r="C918" s="18" t="str">
        <f>IF(A918="","",(Inputs!$C$3*Inputs!$C$2)/Inputs!$C$4)</f>
        <v/>
      </c>
      <c r="D918" s="18" t="str">
        <f>IF(A918 = MAX($A$2:A1000), Inputs!$C$2, "")</f>
        <v/>
      </c>
      <c r="E918" s="18" t="str">
        <f t="shared" si="1"/>
        <v/>
      </c>
    </row>
    <row r="919">
      <c r="B919" s="18" t="str">
        <f>IF(A919="","",A919/Inputs!$C$4)</f>
        <v/>
      </c>
      <c r="C919" s="18" t="str">
        <f>IF(A919="","",(Inputs!$C$3*Inputs!$C$2)/Inputs!$C$4)</f>
        <v/>
      </c>
      <c r="D919" s="18" t="str">
        <f>IF(A919 = MAX($A$2:A1000), Inputs!$C$2, "")</f>
        <v/>
      </c>
      <c r="E919" s="18" t="str">
        <f t="shared" si="1"/>
        <v/>
      </c>
    </row>
    <row r="920">
      <c r="B920" s="18" t="str">
        <f>IF(A920="","",A920/Inputs!$C$4)</f>
        <v/>
      </c>
      <c r="C920" s="18" t="str">
        <f>IF(A920="","",(Inputs!$C$3*Inputs!$C$2)/Inputs!$C$4)</f>
        <v/>
      </c>
      <c r="D920" s="18" t="str">
        <f>IF(A920 = MAX($A$2:A1000), Inputs!$C$2, "")</f>
        <v/>
      </c>
      <c r="E920" s="18" t="str">
        <f t="shared" si="1"/>
        <v/>
      </c>
    </row>
    <row r="921">
      <c r="B921" s="18" t="str">
        <f>IF(A921="","",A921/Inputs!$C$4)</f>
        <v/>
      </c>
      <c r="C921" s="18" t="str">
        <f>IF(A921="","",(Inputs!$C$3*Inputs!$C$2)/Inputs!$C$4)</f>
        <v/>
      </c>
      <c r="D921" s="18" t="str">
        <f>IF(A921 = MAX($A$2:A1000), Inputs!$C$2, "")</f>
        <v/>
      </c>
      <c r="E921" s="18" t="str">
        <f t="shared" si="1"/>
        <v/>
      </c>
    </row>
    <row r="922">
      <c r="B922" s="18" t="str">
        <f>IF(A922="","",A922/Inputs!$C$4)</f>
        <v/>
      </c>
      <c r="C922" s="18" t="str">
        <f>IF(A922="","",(Inputs!$C$3*Inputs!$C$2)/Inputs!$C$4)</f>
        <v/>
      </c>
      <c r="D922" s="18" t="str">
        <f>IF(A922 = MAX($A$2:A1000), Inputs!$C$2, "")</f>
        <v/>
      </c>
      <c r="E922" s="18" t="str">
        <f t="shared" si="1"/>
        <v/>
      </c>
    </row>
    <row r="923">
      <c r="B923" s="18" t="str">
        <f>IF(A923="","",A923/Inputs!$C$4)</f>
        <v/>
      </c>
      <c r="C923" s="18" t="str">
        <f>IF(A923="","",(Inputs!$C$3*Inputs!$C$2)/Inputs!$C$4)</f>
        <v/>
      </c>
      <c r="D923" s="18" t="str">
        <f>IF(A923 = MAX($A$2:A1000), Inputs!$C$2, "")</f>
        <v/>
      </c>
      <c r="E923" s="18" t="str">
        <f t="shared" si="1"/>
        <v/>
      </c>
    </row>
    <row r="924">
      <c r="B924" s="18" t="str">
        <f>IF(A924="","",A924/Inputs!$C$4)</f>
        <v/>
      </c>
      <c r="C924" s="18" t="str">
        <f>IF(A924="","",(Inputs!$C$3*Inputs!$C$2)/Inputs!$C$4)</f>
        <v/>
      </c>
      <c r="D924" s="18" t="str">
        <f>IF(A924 = MAX($A$2:A1000), Inputs!$C$2, "")</f>
        <v/>
      </c>
      <c r="E924" s="18" t="str">
        <f t="shared" si="1"/>
        <v/>
      </c>
    </row>
    <row r="925">
      <c r="B925" s="18" t="str">
        <f>IF(A925="","",A925/Inputs!$C$4)</f>
        <v/>
      </c>
      <c r="C925" s="18" t="str">
        <f>IF(A925="","",(Inputs!$C$3*Inputs!$C$2)/Inputs!$C$4)</f>
        <v/>
      </c>
      <c r="D925" s="18" t="str">
        <f>IF(A925 = MAX($A$2:A1000), Inputs!$C$2, "")</f>
        <v/>
      </c>
      <c r="E925" s="18" t="str">
        <f t="shared" si="1"/>
        <v/>
      </c>
    </row>
    <row r="926">
      <c r="B926" s="18" t="str">
        <f>IF(A926="","",A926/Inputs!$C$4)</f>
        <v/>
      </c>
      <c r="C926" s="18" t="str">
        <f>IF(A926="","",(Inputs!$C$3*Inputs!$C$2)/Inputs!$C$4)</f>
        <v/>
      </c>
      <c r="D926" s="18" t="str">
        <f>IF(A926 = MAX($A$2:A1000), Inputs!$C$2, "")</f>
        <v/>
      </c>
      <c r="E926" s="18" t="str">
        <f t="shared" si="1"/>
        <v/>
      </c>
    </row>
    <row r="927">
      <c r="B927" s="18" t="str">
        <f>IF(A927="","",A927/Inputs!$C$4)</f>
        <v/>
      </c>
      <c r="C927" s="18" t="str">
        <f>IF(A927="","",(Inputs!$C$3*Inputs!$C$2)/Inputs!$C$4)</f>
        <v/>
      </c>
      <c r="D927" s="18" t="str">
        <f>IF(A927 = MAX($A$2:A1000), Inputs!$C$2, "")</f>
        <v/>
      </c>
      <c r="E927" s="18" t="str">
        <f t="shared" si="1"/>
        <v/>
      </c>
    </row>
    <row r="928">
      <c r="B928" s="18" t="str">
        <f>IF(A928="","",A928/Inputs!$C$4)</f>
        <v/>
      </c>
      <c r="C928" s="18" t="str">
        <f>IF(A928="","",(Inputs!$C$3*Inputs!$C$2)/Inputs!$C$4)</f>
        <v/>
      </c>
      <c r="D928" s="18" t="str">
        <f>IF(A928 = MAX($A$2:A1000), Inputs!$C$2, "")</f>
        <v/>
      </c>
      <c r="E928" s="18" t="str">
        <f t="shared" si="1"/>
        <v/>
      </c>
    </row>
    <row r="929">
      <c r="B929" s="18" t="str">
        <f>IF(A929="","",A929/Inputs!$C$4)</f>
        <v/>
      </c>
      <c r="C929" s="18" t="str">
        <f>IF(A929="","",(Inputs!$C$3*Inputs!$C$2)/Inputs!$C$4)</f>
        <v/>
      </c>
      <c r="D929" s="18" t="str">
        <f>IF(A929 = MAX($A$2:A1000), Inputs!$C$2, "")</f>
        <v/>
      </c>
      <c r="E929" s="18" t="str">
        <f t="shared" si="1"/>
        <v/>
      </c>
    </row>
    <row r="930">
      <c r="B930" s="18" t="str">
        <f>IF(A930="","",A930/Inputs!$C$4)</f>
        <v/>
      </c>
      <c r="C930" s="18" t="str">
        <f>IF(A930="","",(Inputs!$C$3*Inputs!$C$2)/Inputs!$C$4)</f>
        <v/>
      </c>
      <c r="D930" s="18" t="str">
        <f>IF(A930 = MAX($A$2:A1000), Inputs!$C$2, "")</f>
        <v/>
      </c>
      <c r="E930" s="18" t="str">
        <f t="shared" si="1"/>
        <v/>
      </c>
    </row>
    <row r="931">
      <c r="B931" s="18" t="str">
        <f>IF(A931="","",A931/Inputs!$C$4)</f>
        <v/>
      </c>
      <c r="C931" s="18" t="str">
        <f>IF(A931="","",(Inputs!$C$3*Inputs!$C$2)/Inputs!$C$4)</f>
        <v/>
      </c>
      <c r="D931" s="18" t="str">
        <f>IF(A931 = MAX($A$2:A1000), Inputs!$C$2, "")</f>
        <v/>
      </c>
      <c r="E931" s="18" t="str">
        <f t="shared" si="1"/>
        <v/>
      </c>
    </row>
    <row r="932">
      <c r="B932" s="18" t="str">
        <f>IF(A932="","",A932/Inputs!$C$4)</f>
        <v/>
      </c>
      <c r="C932" s="18" t="str">
        <f>IF(A932="","",(Inputs!$C$3*Inputs!$C$2)/Inputs!$C$4)</f>
        <v/>
      </c>
      <c r="D932" s="18" t="str">
        <f>IF(A932 = MAX($A$2:A1000), Inputs!$C$2, "")</f>
        <v/>
      </c>
      <c r="E932" s="18" t="str">
        <f t="shared" si="1"/>
        <v/>
      </c>
    </row>
    <row r="933">
      <c r="B933" s="18" t="str">
        <f>IF(A933="","",A933/Inputs!$C$4)</f>
        <v/>
      </c>
      <c r="C933" s="18" t="str">
        <f>IF(A933="","",(Inputs!$C$3*Inputs!$C$2)/Inputs!$C$4)</f>
        <v/>
      </c>
      <c r="D933" s="18" t="str">
        <f>IF(A933 = MAX($A$2:A1000), Inputs!$C$2, "")</f>
        <v/>
      </c>
      <c r="E933" s="18" t="str">
        <f t="shared" si="1"/>
        <v/>
      </c>
    </row>
    <row r="934">
      <c r="B934" s="18" t="str">
        <f>IF(A934="","",A934/Inputs!$C$4)</f>
        <v/>
      </c>
      <c r="C934" s="18" t="str">
        <f>IF(A934="","",(Inputs!$C$3*Inputs!$C$2)/Inputs!$C$4)</f>
        <v/>
      </c>
      <c r="D934" s="18" t="str">
        <f>IF(A934 = MAX($A$2:A1000), Inputs!$C$2, "")</f>
        <v/>
      </c>
      <c r="E934" s="18" t="str">
        <f t="shared" si="1"/>
        <v/>
      </c>
    </row>
    <row r="935">
      <c r="B935" s="18" t="str">
        <f>IF(A935="","",A935/Inputs!$C$4)</f>
        <v/>
      </c>
      <c r="C935" s="18" t="str">
        <f>IF(A935="","",(Inputs!$C$3*Inputs!$C$2)/Inputs!$C$4)</f>
        <v/>
      </c>
      <c r="D935" s="18" t="str">
        <f>IF(A935 = MAX($A$2:A1000), Inputs!$C$2, "")</f>
        <v/>
      </c>
      <c r="E935" s="18" t="str">
        <f t="shared" si="1"/>
        <v/>
      </c>
    </row>
    <row r="936">
      <c r="B936" s="18" t="str">
        <f>IF(A936="","",A936/Inputs!$C$4)</f>
        <v/>
      </c>
      <c r="C936" s="18" t="str">
        <f>IF(A936="","",(Inputs!$C$3*Inputs!$C$2)/Inputs!$C$4)</f>
        <v/>
      </c>
      <c r="D936" s="18" t="str">
        <f>IF(A936 = MAX($A$2:A1000), Inputs!$C$2, "")</f>
        <v/>
      </c>
      <c r="E936" s="18" t="str">
        <f t="shared" si="1"/>
        <v/>
      </c>
    </row>
    <row r="937">
      <c r="B937" s="18" t="str">
        <f>IF(A937="","",A937/Inputs!$C$4)</f>
        <v/>
      </c>
      <c r="C937" s="18" t="str">
        <f>IF(A937="","",(Inputs!$C$3*Inputs!$C$2)/Inputs!$C$4)</f>
        <v/>
      </c>
      <c r="D937" s="18" t="str">
        <f>IF(A937 = MAX($A$2:A1000), Inputs!$C$2, "")</f>
        <v/>
      </c>
      <c r="E937" s="18" t="str">
        <f t="shared" si="1"/>
        <v/>
      </c>
    </row>
    <row r="938">
      <c r="B938" s="18" t="str">
        <f>IF(A938="","",A938/Inputs!$C$4)</f>
        <v/>
      </c>
      <c r="C938" s="18" t="str">
        <f>IF(A938="","",(Inputs!$C$3*Inputs!$C$2)/Inputs!$C$4)</f>
        <v/>
      </c>
      <c r="D938" s="18" t="str">
        <f>IF(A938 = MAX($A$2:A1000), Inputs!$C$2, "")</f>
        <v/>
      </c>
      <c r="E938" s="18" t="str">
        <f t="shared" si="1"/>
        <v/>
      </c>
    </row>
    <row r="939">
      <c r="B939" s="18" t="str">
        <f>IF(A939="","",A939/Inputs!$C$4)</f>
        <v/>
      </c>
      <c r="C939" s="18" t="str">
        <f>IF(A939="","",(Inputs!$C$3*Inputs!$C$2)/Inputs!$C$4)</f>
        <v/>
      </c>
      <c r="D939" s="18" t="str">
        <f>IF(A939 = MAX($A$2:A1000), Inputs!$C$2, "")</f>
        <v/>
      </c>
      <c r="E939" s="18" t="str">
        <f t="shared" si="1"/>
        <v/>
      </c>
    </row>
    <row r="940">
      <c r="B940" s="18" t="str">
        <f>IF(A940="","",A940/Inputs!$C$4)</f>
        <v/>
      </c>
      <c r="C940" s="18" t="str">
        <f>IF(A940="","",(Inputs!$C$3*Inputs!$C$2)/Inputs!$C$4)</f>
        <v/>
      </c>
      <c r="D940" s="18" t="str">
        <f>IF(A940 = MAX($A$2:A1000), Inputs!$C$2, "")</f>
        <v/>
      </c>
      <c r="E940" s="18" t="str">
        <f t="shared" si="1"/>
        <v/>
      </c>
    </row>
    <row r="941">
      <c r="B941" s="18" t="str">
        <f>IF(A941="","",A941/Inputs!$C$4)</f>
        <v/>
      </c>
      <c r="C941" s="18" t="str">
        <f>IF(A941="","",(Inputs!$C$3*Inputs!$C$2)/Inputs!$C$4)</f>
        <v/>
      </c>
      <c r="D941" s="18" t="str">
        <f>IF(A941 = MAX($A$2:A1000), Inputs!$C$2, "")</f>
        <v/>
      </c>
      <c r="E941" s="18" t="str">
        <f t="shared" si="1"/>
        <v/>
      </c>
    </row>
    <row r="942">
      <c r="B942" s="18" t="str">
        <f>IF(A942="","",A942/Inputs!$C$4)</f>
        <v/>
      </c>
      <c r="C942" s="18" t="str">
        <f>IF(A942="","",(Inputs!$C$3*Inputs!$C$2)/Inputs!$C$4)</f>
        <v/>
      </c>
      <c r="D942" s="18" t="str">
        <f>IF(A942 = MAX($A$2:A1000), Inputs!$C$2, "")</f>
        <v/>
      </c>
      <c r="E942" s="18" t="str">
        <f t="shared" si="1"/>
        <v/>
      </c>
    </row>
    <row r="943">
      <c r="B943" s="18" t="str">
        <f>IF(A943="","",A943/Inputs!$C$4)</f>
        <v/>
      </c>
      <c r="C943" s="18" t="str">
        <f>IF(A943="","",(Inputs!$C$3*Inputs!$C$2)/Inputs!$C$4)</f>
        <v/>
      </c>
      <c r="D943" s="18" t="str">
        <f>IF(A943 = MAX($A$2:A1000), Inputs!$C$2, "")</f>
        <v/>
      </c>
      <c r="E943" s="18" t="str">
        <f t="shared" si="1"/>
        <v/>
      </c>
    </row>
    <row r="944">
      <c r="B944" s="18" t="str">
        <f>IF(A944="","",A944/Inputs!$C$4)</f>
        <v/>
      </c>
      <c r="C944" s="18" t="str">
        <f>IF(A944="","",(Inputs!$C$3*Inputs!$C$2)/Inputs!$C$4)</f>
        <v/>
      </c>
      <c r="D944" s="18" t="str">
        <f>IF(A944 = MAX($A$2:A1000), Inputs!$C$2, "")</f>
        <v/>
      </c>
      <c r="E944" s="18" t="str">
        <f t="shared" si="1"/>
        <v/>
      </c>
    </row>
    <row r="945">
      <c r="B945" s="18" t="str">
        <f>IF(A945="","",A945/Inputs!$C$4)</f>
        <v/>
      </c>
      <c r="C945" s="18" t="str">
        <f>IF(A945="","",(Inputs!$C$3*Inputs!$C$2)/Inputs!$C$4)</f>
        <v/>
      </c>
      <c r="D945" s="18" t="str">
        <f>IF(A945 = MAX($A$2:A1000), Inputs!$C$2, "")</f>
        <v/>
      </c>
      <c r="E945" s="18" t="str">
        <f t="shared" si="1"/>
        <v/>
      </c>
    </row>
    <row r="946">
      <c r="B946" s="18" t="str">
        <f>IF(A946="","",A946/Inputs!$C$4)</f>
        <v/>
      </c>
      <c r="C946" s="18" t="str">
        <f>IF(A946="","",(Inputs!$C$3*Inputs!$C$2)/Inputs!$C$4)</f>
        <v/>
      </c>
      <c r="D946" s="18" t="str">
        <f>IF(A946 = MAX($A$2:A1000), Inputs!$C$2, "")</f>
        <v/>
      </c>
      <c r="E946" s="18" t="str">
        <f t="shared" si="1"/>
        <v/>
      </c>
    </row>
    <row r="947">
      <c r="B947" s="18" t="str">
        <f>IF(A947="","",A947/Inputs!$C$4)</f>
        <v/>
      </c>
      <c r="C947" s="18" t="str">
        <f>IF(A947="","",(Inputs!$C$3*Inputs!$C$2)/Inputs!$C$4)</f>
        <v/>
      </c>
      <c r="D947" s="18" t="str">
        <f>IF(A947 = MAX($A$2:A1000), Inputs!$C$2, "")</f>
        <v/>
      </c>
      <c r="E947" s="18" t="str">
        <f t="shared" si="1"/>
        <v/>
      </c>
    </row>
    <row r="948">
      <c r="B948" s="18" t="str">
        <f>IF(A948="","",A948/Inputs!$C$4)</f>
        <v/>
      </c>
      <c r="C948" s="18" t="str">
        <f>IF(A948="","",(Inputs!$C$3*Inputs!$C$2)/Inputs!$C$4)</f>
        <v/>
      </c>
      <c r="D948" s="18" t="str">
        <f>IF(A948 = MAX($A$2:A1000), Inputs!$C$2, "")</f>
        <v/>
      </c>
      <c r="E948" s="18" t="str">
        <f t="shared" si="1"/>
        <v/>
      </c>
    </row>
    <row r="949">
      <c r="B949" s="18" t="str">
        <f>IF(A949="","",A949/Inputs!$C$4)</f>
        <v/>
      </c>
      <c r="C949" s="18" t="str">
        <f>IF(A949="","",(Inputs!$C$3*Inputs!$C$2)/Inputs!$C$4)</f>
        <v/>
      </c>
      <c r="D949" s="18" t="str">
        <f>IF(A949 = MAX($A$2:A1000), Inputs!$C$2, "")</f>
        <v/>
      </c>
      <c r="E949" s="18" t="str">
        <f t="shared" si="1"/>
        <v/>
      </c>
    </row>
    <row r="950">
      <c r="B950" s="18" t="str">
        <f>IF(A950="","",A950/Inputs!$C$4)</f>
        <v/>
      </c>
      <c r="C950" s="18" t="str">
        <f>IF(A950="","",(Inputs!$C$3*Inputs!$C$2)/Inputs!$C$4)</f>
        <v/>
      </c>
      <c r="D950" s="18" t="str">
        <f>IF(A950 = MAX($A$2:A1000), Inputs!$C$2, "")</f>
        <v/>
      </c>
      <c r="E950" s="18" t="str">
        <f t="shared" si="1"/>
        <v/>
      </c>
    </row>
    <row r="951">
      <c r="B951" s="18" t="str">
        <f>IF(A951="","",A951/Inputs!$C$4)</f>
        <v/>
      </c>
      <c r="C951" s="18" t="str">
        <f>IF(A951="","",(Inputs!$C$3*Inputs!$C$2)/Inputs!$C$4)</f>
        <v/>
      </c>
      <c r="D951" s="18" t="str">
        <f>IF(A951 = MAX($A$2:A1000), Inputs!$C$2, "")</f>
        <v/>
      </c>
      <c r="E951" s="18" t="str">
        <f t="shared" si="1"/>
        <v/>
      </c>
    </row>
    <row r="952">
      <c r="B952" s="18" t="str">
        <f>IF(A952="","",A952/Inputs!$C$4)</f>
        <v/>
      </c>
      <c r="C952" s="18" t="str">
        <f>IF(A952="","",(Inputs!$C$3*Inputs!$C$2)/Inputs!$C$4)</f>
        <v/>
      </c>
      <c r="D952" s="18" t="str">
        <f>IF(A952 = MAX($A$2:A1000), Inputs!$C$2, "")</f>
        <v/>
      </c>
      <c r="E952" s="18" t="str">
        <f t="shared" si="1"/>
        <v/>
      </c>
    </row>
    <row r="953">
      <c r="B953" s="18" t="str">
        <f>IF(A953="","",A953/Inputs!$C$4)</f>
        <v/>
      </c>
      <c r="C953" s="18" t="str">
        <f>IF(A953="","",(Inputs!$C$3*Inputs!$C$2)/Inputs!$C$4)</f>
        <v/>
      </c>
      <c r="D953" s="18" t="str">
        <f>IF(A953 = MAX($A$2:A1000), Inputs!$C$2, "")</f>
        <v/>
      </c>
      <c r="E953" s="18" t="str">
        <f t="shared" si="1"/>
        <v/>
      </c>
    </row>
    <row r="954">
      <c r="B954" s="18" t="str">
        <f>IF(A954="","",A954/Inputs!$C$4)</f>
        <v/>
      </c>
      <c r="C954" s="18" t="str">
        <f>IF(A954="","",(Inputs!$C$3*Inputs!$C$2)/Inputs!$C$4)</f>
        <v/>
      </c>
      <c r="D954" s="18" t="str">
        <f>IF(A954 = MAX($A$2:A1000), Inputs!$C$2, "")</f>
        <v/>
      </c>
      <c r="E954" s="18" t="str">
        <f t="shared" si="1"/>
        <v/>
      </c>
    </row>
    <row r="955">
      <c r="B955" s="18" t="str">
        <f>IF(A955="","",A955/Inputs!$C$4)</f>
        <v/>
      </c>
      <c r="C955" s="18" t="str">
        <f>IF(A955="","",(Inputs!$C$3*Inputs!$C$2)/Inputs!$C$4)</f>
        <v/>
      </c>
      <c r="D955" s="18" t="str">
        <f>IF(A955 = MAX($A$2:A1000), Inputs!$C$2, "")</f>
        <v/>
      </c>
      <c r="E955" s="18" t="str">
        <f t="shared" si="1"/>
        <v/>
      </c>
    </row>
    <row r="956">
      <c r="B956" s="18" t="str">
        <f>IF(A956="","",A956/Inputs!$C$4)</f>
        <v/>
      </c>
      <c r="C956" s="18" t="str">
        <f>IF(A956="","",(Inputs!$C$3*Inputs!$C$2)/Inputs!$C$4)</f>
        <v/>
      </c>
      <c r="D956" s="18" t="str">
        <f>IF(A956 = MAX($A$2:A1000), Inputs!$C$2, "")</f>
        <v/>
      </c>
      <c r="E956" s="18" t="str">
        <f t="shared" si="1"/>
        <v/>
      </c>
    </row>
    <row r="957">
      <c r="B957" s="18" t="str">
        <f>IF(A957="","",A957/Inputs!$C$4)</f>
        <v/>
      </c>
      <c r="C957" s="18" t="str">
        <f>IF(A957="","",(Inputs!$C$3*Inputs!$C$2)/Inputs!$C$4)</f>
        <v/>
      </c>
      <c r="D957" s="18" t="str">
        <f>IF(A957 = MAX($A$2:A1000), Inputs!$C$2, "")</f>
        <v/>
      </c>
      <c r="E957" s="18" t="str">
        <f t="shared" si="1"/>
        <v/>
      </c>
    </row>
    <row r="958">
      <c r="B958" s="18" t="str">
        <f>IF(A958="","",A958/Inputs!$C$4)</f>
        <v/>
      </c>
      <c r="C958" s="18" t="str">
        <f>IF(A958="","",(Inputs!$C$3*Inputs!$C$2)/Inputs!$C$4)</f>
        <v/>
      </c>
      <c r="D958" s="18" t="str">
        <f>IF(A958 = MAX($A$2:A1000), Inputs!$C$2, "")</f>
        <v/>
      </c>
      <c r="E958" s="18" t="str">
        <f t="shared" si="1"/>
        <v/>
      </c>
    </row>
    <row r="959">
      <c r="B959" s="18" t="str">
        <f>IF(A959="","",A959/Inputs!$C$4)</f>
        <v/>
      </c>
      <c r="C959" s="18" t="str">
        <f>IF(A959="","",(Inputs!$C$3*Inputs!$C$2)/Inputs!$C$4)</f>
        <v/>
      </c>
      <c r="D959" s="18" t="str">
        <f>IF(A959 = MAX($A$2:A1000), Inputs!$C$2, "")</f>
        <v/>
      </c>
      <c r="E959" s="18" t="str">
        <f t="shared" si="1"/>
        <v/>
      </c>
    </row>
    <row r="960">
      <c r="B960" s="18" t="str">
        <f>IF(A960="","",A960/Inputs!$C$4)</f>
        <v/>
      </c>
      <c r="C960" s="18" t="str">
        <f>IF(A960="","",(Inputs!$C$3*Inputs!$C$2)/Inputs!$C$4)</f>
        <v/>
      </c>
      <c r="D960" s="18" t="str">
        <f>IF(A960 = MAX($A$2:A1000), Inputs!$C$2, "")</f>
        <v/>
      </c>
      <c r="E960" s="18" t="str">
        <f t="shared" si="1"/>
        <v/>
      </c>
    </row>
    <row r="961">
      <c r="B961" s="18" t="str">
        <f>IF(A961="","",A961/Inputs!$C$4)</f>
        <v/>
      </c>
      <c r="C961" s="18" t="str">
        <f>IF(A961="","",(Inputs!$C$3*Inputs!$C$2)/Inputs!$C$4)</f>
        <v/>
      </c>
      <c r="D961" s="18" t="str">
        <f>IF(A961 = MAX($A$2:A1000), Inputs!$C$2, "")</f>
        <v/>
      </c>
      <c r="E961" s="18" t="str">
        <f t="shared" si="1"/>
        <v/>
      </c>
    </row>
    <row r="962">
      <c r="B962" s="18" t="str">
        <f>IF(A962="","",A962/Inputs!$C$4)</f>
        <v/>
      </c>
      <c r="C962" s="18" t="str">
        <f>IF(A962="","",(Inputs!$C$3*Inputs!$C$2)/Inputs!$C$4)</f>
        <v/>
      </c>
      <c r="D962" s="18" t="str">
        <f>IF(A962 = MAX($A$2:A1000), Inputs!$C$2, "")</f>
        <v/>
      </c>
      <c r="E962" s="18" t="str">
        <f t="shared" si="1"/>
        <v/>
      </c>
    </row>
    <row r="963">
      <c r="B963" s="18" t="str">
        <f>IF(A963="","",A963/Inputs!$C$4)</f>
        <v/>
      </c>
      <c r="C963" s="18" t="str">
        <f>IF(A963="","",(Inputs!$C$3*Inputs!$C$2)/Inputs!$C$4)</f>
        <v/>
      </c>
      <c r="D963" s="18" t="str">
        <f>IF(A963 = MAX($A$2:A1000), Inputs!$C$2, "")</f>
        <v/>
      </c>
      <c r="E963" s="18" t="str">
        <f t="shared" si="1"/>
        <v/>
      </c>
    </row>
    <row r="964">
      <c r="B964" s="18" t="str">
        <f>IF(A964="","",A964/Inputs!$C$4)</f>
        <v/>
      </c>
      <c r="C964" s="18" t="str">
        <f>IF(A964="","",(Inputs!$C$3*Inputs!$C$2)/Inputs!$C$4)</f>
        <v/>
      </c>
      <c r="D964" s="18" t="str">
        <f>IF(A964 = MAX($A$2:A1000), Inputs!$C$2, "")</f>
        <v/>
      </c>
      <c r="E964" s="18" t="str">
        <f t="shared" si="1"/>
        <v/>
      </c>
    </row>
    <row r="965">
      <c r="B965" s="18" t="str">
        <f>IF(A965="","",A965/Inputs!$C$4)</f>
        <v/>
      </c>
      <c r="C965" s="18" t="str">
        <f>IF(A965="","",(Inputs!$C$3*Inputs!$C$2)/Inputs!$C$4)</f>
        <v/>
      </c>
      <c r="D965" s="18" t="str">
        <f>IF(A965 = MAX($A$2:A1000), Inputs!$C$2, "")</f>
        <v/>
      </c>
      <c r="E965" s="18" t="str">
        <f t="shared" si="1"/>
        <v/>
      </c>
    </row>
    <row r="966">
      <c r="B966" s="18" t="str">
        <f>IF(A966="","",A966/Inputs!$C$4)</f>
        <v/>
      </c>
      <c r="C966" s="18" t="str">
        <f>IF(A966="","",(Inputs!$C$3*Inputs!$C$2)/Inputs!$C$4)</f>
        <v/>
      </c>
      <c r="D966" s="18" t="str">
        <f>IF(A966 = MAX($A$2:A1000), Inputs!$C$2, "")</f>
        <v/>
      </c>
      <c r="E966" s="18" t="str">
        <f t="shared" si="1"/>
        <v/>
      </c>
    </row>
    <row r="967">
      <c r="B967" s="18" t="str">
        <f>IF(A967="","",A967/Inputs!$C$4)</f>
        <v/>
      </c>
      <c r="C967" s="18" t="str">
        <f>IF(A967="","",(Inputs!$C$3*Inputs!$C$2)/Inputs!$C$4)</f>
        <v/>
      </c>
      <c r="D967" s="18" t="str">
        <f>IF(A967 = MAX($A$2:A1000), Inputs!$C$2, "")</f>
        <v/>
      </c>
      <c r="E967" s="18" t="str">
        <f t="shared" si="1"/>
        <v/>
      </c>
    </row>
    <row r="968">
      <c r="B968" s="18" t="str">
        <f>IF(A968="","",A968/Inputs!$C$4)</f>
        <v/>
      </c>
      <c r="C968" s="18" t="str">
        <f>IF(A968="","",(Inputs!$C$3*Inputs!$C$2)/Inputs!$C$4)</f>
        <v/>
      </c>
      <c r="D968" s="18" t="str">
        <f>IF(A968 = MAX($A$2:A1000), Inputs!$C$2, "")</f>
        <v/>
      </c>
      <c r="E968" s="18" t="str">
        <f t="shared" si="1"/>
        <v/>
      </c>
    </row>
    <row r="969">
      <c r="B969" s="18" t="str">
        <f>IF(A969="","",A969/Inputs!$C$4)</f>
        <v/>
      </c>
      <c r="C969" s="18" t="str">
        <f>IF(A969="","",(Inputs!$C$3*Inputs!$C$2)/Inputs!$C$4)</f>
        <v/>
      </c>
      <c r="D969" s="18" t="str">
        <f>IF(A969 = MAX($A$2:A1000), Inputs!$C$2, "")</f>
        <v/>
      </c>
      <c r="E969" s="18" t="str">
        <f t="shared" si="1"/>
        <v/>
      </c>
    </row>
    <row r="970">
      <c r="B970" s="18" t="str">
        <f>IF(A970="","",A970/Inputs!$C$4)</f>
        <v/>
      </c>
      <c r="C970" s="18" t="str">
        <f>IF(A970="","",(Inputs!$C$3*Inputs!$C$2)/Inputs!$C$4)</f>
        <v/>
      </c>
      <c r="D970" s="18" t="str">
        <f>IF(A970 = MAX($A$2:A1000), Inputs!$C$2, "")</f>
        <v/>
      </c>
      <c r="E970" s="18" t="str">
        <f t="shared" si="1"/>
        <v/>
      </c>
    </row>
    <row r="971">
      <c r="B971" s="18" t="str">
        <f>IF(A971="","",A971/Inputs!$C$4)</f>
        <v/>
      </c>
      <c r="C971" s="18" t="str">
        <f>IF(A971="","",(Inputs!$C$3*Inputs!$C$2)/Inputs!$C$4)</f>
        <v/>
      </c>
      <c r="D971" s="18" t="str">
        <f>IF(A971 = MAX($A$2:A1000), Inputs!$C$2, "")</f>
        <v/>
      </c>
      <c r="E971" s="18" t="str">
        <f t="shared" si="1"/>
        <v/>
      </c>
    </row>
    <row r="972">
      <c r="B972" s="18" t="str">
        <f>IF(A972="","",A972/Inputs!$C$4)</f>
        <v/>
      </c>
      <c r="C972" s="18" t="str">
        <f>IF(A972="","",(Inputs!$C$3*Inputs!$C$2)/Inputs!$C$4)</f>
        <v/>
      </c>
      <c r="D972" s="18" t="str">
        <f>IF(A972 = MAX($A$2:A1000), Inputs!$C$2, "")</f>
        <v/>
      </c>
      <c r="E972" s="18" t="str">
        <f t="shared" si="1"/>
        <v/>
      </c>
    </row>
    <row r="973">
      <c r="B973" s="18" t="str">
        <f>IF(A973="","",A973/Inputs!$C$4)</f>
        <v/>
      </c>
      <c r="C973" s="18" t="str">
        <f>IF(A973="","",(Inputs!$C$3*Inputs!$C$2)/Inputs!$C$4)</f>
        <v/>
      </c>
      <c r="D973" s="18" t="str">
        <f>IF(A973 = MAX($A$2:A1000), Inputs!$C$2, "")</f>
        <v/>
      </c>
      <c r="E973" s="18" t="str">
        <f t="shared" si="1"/>
        <v/>
      </c>
    </row>
    <row r="974">
      <c r="B974" s="18" t="str">
        <f>IF(A974="","",A974/Inputs!$C$4)</f>
        <v/>
      </c>
      <c r="C974" s="18" t="str">
        <f>IF(A974="","",(Inputs!$C$3*Inputs!$C$2)/Inputs!$C$4)</f>
        <v/>
      </c>
      <c r="D974" s="18" t="str">
        <f>IF(A974 = MAX($A$2:A1000), Inputs!$C$2, "")</f>
        <v/>
      </c>
      <c r="E974" s="18" t="str">
        <f t="shared" si="1"/>
        <v/>
      </c>
    </row>
    <row r="975">
      <c r="B975" s="18" t="str">
        <f>IF(A975="","",A975/Inputs!$C$4)</f>
        <v/>
      </c>
      <c r="C975" s="18" t="str">
        <f>IF(A975="","",(Inputs!$C$3*Inputs!$C$2)/Inputs!$C$4)</f>
        <v/>
      </c>
      <c r="D975" s="18" t="str">
        <f>IF(A975 = MAX($A$2:A1000), Inputs!$C$2, "")</f>
        <v/>
      </c>
      <c r="E975" s="18" t="str">
        <f t="shared" si="1"/>
        <v/>
      </c>
    </row>
    <row r="976">
      <c r="B976" s="18" t="str">
        <f>IF(A976="","",A976/Inputs!$C$4)</f>
        <v/>
      </c>
      <c r="C976" s="18" t="str">
        <f>IF(A976="","",(Inputs!$C$3*Inputs!$C$2)/Inputs!$C$4)</f>
        <v/>
      </c>
      <c r="D976" s="18" t="str">
        <f>IF(A976 = MAX($A$2:A1000), Inputs!$C$2, "")</f>
        <v/>
      </c>
      <c r="E976" s="18" t="str">
        <f t="shared" si="1"/>
        <v/>
      </c>
    </row>
    <row r="977">
      <c r="B977" s="18" t="str">
        <f>IF(A977="","",A977/Inputs!$C$4)</f>
        <v/>
      </c>
      <c r="C977" s="18" t="str">
        <f>IF(A977="","",(Inputs!$C$3*Inputs!$C$2)/Inputs!$C$4)</f>
        <v/>
      </c>
      <c r="D977" s="18" t="str">
        <f>IF(A977 = MAX($A$2:A1000), Inputs!$C$2, "")</f>
        <v/>
      </c>
      <c r="E977" s="18" t="str">
        <f t="shared" si="1"/>
        <v/>
      </c>
    </row>
    <row r="978">
      <c r="B978" s="18" t="str">
        <f>IF(A978="","",A978/Inputs!$C$4)</f>
        <v/>
      </c>
      <c r="C978" s="18" t="str">
        <f>IF(A978="","",(Inputs!$C$3*Inputs!$C$2)/Inputs!$C$4)</f>
        <v/>
      </c>
      <c r="D978" s="18" t="str">
        <f>IF(A978 = MAX($A$2:A1000), Inputs!$C$2, "")</f>
        <v/>
      </c>
      <c r="E978" s="18" t="str">
        <f t="shared" si="1"/>
        <v/>
      </c>
    </row>
    <row r="979">
      <c r="B979" s="18" t="str">
        <f>IF(A979="","",A979/Inputs!$C$4)</f>
        <v/>
      </c>
      <c r="C979" s="18" t="str">
        <f>IF(A979="","",(Inputs!$C$3*Inputs!$C$2)/Inputs!$C$4)</f>
        <v/>
      </c>
      <c r="D979" s="18" t="str">
        <f>IF(A979 = MAX($A$2:A1000), Inputs!$C$2, "")</f>
        <v/>
      </c>
      <c r="E979" s="18" t="str">
        <f t="shared" si="1"/>
        <v/>
      </c>
    </row>
    <row r="980">
      <c r="B980" s="18" t="str">
        <f>IF(A980="","",A980/Inputs!$C$4)</f>
        <v/>
      </c>
      <c r="C980" s="18" t="str">
        <f>IF(A980="","",(Inputs!$C$3*Inputs!$C$2)/Inputs!$C$4)</f>
        <v/>
      </c>
      <c r="D980" s="18" t="str">
        <f>IF(A980 = MAX($A$2:A1000), Inputs!$C$2, "")</f>
        <v/>
      </c>
      <c r="E980" s="18" t="str">
        <f t="shared" si="1"/>
        <v/>
      </c>
    </row>
    <row r="981">
      <c r="B981" s="18" t="str">
        <f>IF(A981="","",A981/Inputs!$C$4)</f>
        <v/>
      </c>
      <c r="C981" s="18" t="str">
        <f>IF(A981="","",(Inputs!$C$3*Inputs!$C$2)/Inputs!$C$4)</f>
        <v/>
      </c>
      <c r="D981" s="18" t="str">
        <f>IF(A981 = MAX($A$2:A1000), Inputs!$C$2, "")</f>
        <v/>
      </c>
      <c r="E981" s="18" t="str">
        <f t="shared" si="1"/>
        <v/>
      </c>
    </row>
    <row r="982">
      <c r="B982" s="18" t="str">
        <f>IF(A982="","",A982/Inputs!$C$4)</f>
        <v/>
      </c>
      <c r="C982" s="18" t="str">
        <f>IF(A982="","",(Inputs!$C$3*Inputs!$C$2)/Inputs!$C$4)</f>
        <v/>
      </c>
      <c r="D982" s="18" t="str">
        <f>IF(A982 = MAX($A$2:A1000), Inputs!$C$2, "")</f>
        <v/>
      </c>
      <c r="E982" s="18" t="str">
        <f t="shared" si="1"/>
        <v/>
      </c>
    </row>
    <row r="983">
      <c r="B983" s="18" t="str">
        <f>IF(A983="","",A983/Inputs!$C$4)</f>
        <v/>
      </c>
      <c r="C983" s="18" t="str">
        <f>IF(A983="","",(Inputs!$C$3*Inputs!$C$2)/Inputs!$C$4)</f>
        <v/>
      </c>
      <c r="D983" s="18" t="str">
        <f>IF(A983 = MAX($A$2:A1000), Inputs!$C$2, "")</f>
        <v/>
      </c>
      <c r="E983" s="18" t="str">
        <f t="shared" si="1"/>
        <v/>
      </c>
    </row>
    <row r="984">
      <c r="B984" s="18" t="str">
        <f>IF(A984="","",A984/Inputs!$C$4)</f>
        <v/>
      </c>
      <c r="C984" s="18" t="str">
        <f>IF(A984="","",(Inputs!$C$3*Inputs!$C$2)/Inputs!$C$4)</f>
        <v/>
      </c>
      <c r="D984" s="18" t="str">
        <f>IF(A984 = MAX($A$2:A1000), Inputs!$C$2, "")</f>
        <v/>
      </c>
      <c r="E984" s="18" t="str">
        <f t="shared" si="1"/>
        <v/>
      </c>
    </row>
    <row r="985">
      <c r="B985" s="18" t="str">
        <f>IF(A985="","",A985/Inputs!$C$4)</f>
        <v/>
      </c>
      <c r="C985" s="18" t="str">
        <f>IF(A985="","",(Inputs!$C$3*Inputs!$C$2)/Inputs!$C$4)</f>
        <v/>
      </c>
      <c r="D985" s="18" t="str">
        <f>IF(A985 = MAX($A$2:A1000), Inputs!$C$2, "")</f>
        <v/>
      </c>
      <c r="E985" s="18" t="str">
        <f t="shared" si="1"/>
        <v/>
      </c>
    </row>
    <row r="986">
      <c r="B986" s="18" t="str">
        <f>IF(A986="","",A986/Inputs!$C$4)</f>
        <v/>
      </c>
      <c r="C986" s="18" t="str">
        <f>IF(A986="","",(Inputs!$C$3*Inputs!$C$2)/Inputs!$C$4)</f>
        <v/>
      </c>
      <c r="D986" s="18" t="str">
        <f>IF(A986 = MAX($A$2:A1000), Inputs!$C$2, "")</f>
        <v/>
      </c>
      <c r="E986" s="18" t="str">
        <f t="shared" si="1"/>
        <v/>
      </c>
    </row>
    <row r="987">
      <c r="B987" s="18" t="str">
        <f>IF(A987="","",A987/Inputs!$C$4)</f>
        <v/>
      </c>
      <c r="C987" s="18" t="str">
        <f>IF(A987="","",(Inputs!$C$3*Inputs!$C$2)/Inputs!$C$4)</f>
        <v/>
      </c>
      <c r="D987" s="18" t="str">
        <f>IF(A987 = MAX($A$2:A1000), Inputs!$C$2, "")</f>
        <v/>
      </c>
      <c r="E987" s="18" t="str">
        <f t="shared" si="1"/>
        <v/>
      </c>
    </row>
    <row r="988">
      <c r="B988" s="18" t="str">
        <f>IF(A988="","",A988/Inputs!$C$4)</f>
        <v/>
      </c>
      <c r="C988" s="18" t="str">
        <f>IF(A988="","",(Inputs!$C$3*Inputs!$C$2)/Inputs!$C$4)</f>
        <v/>
      </c>
      <c r="D988" s="18" t="str">
        <f>IF(A988 = MAX($A$2:A1000), Inputs!$C$2, "")</f>
        <v/>
      </c>
      <c r="E988" s="18" t="str">
        <f t="shared" si="1"/>
        <v/>
      </c>
    </row>
    <row r="989">
      <c r="B989" s="18" t="str">
        <f>IF(A989="","",A989/Inputs!$C$4)</f>
        <v/>
      </c>
      <c r="C989" s="18" t="str">
        <f>IF(A989="","",(Inputs!$C$3*Inputs!$C$2)/Inputs!$C$4)</f>
        <v/>
      </c>
      <c r="D989" s="18" t="str">
        <f>IF(A989 = MAX($A$2:A1000), Inputs!$C$2, "")</f>
        <v/>
      </c>
      <c r="E989" s="18" t="str">
        <f t="shared" si="1"/>
        <v/>
      </c>
    </row>
    <row r="990">
      <c r="B990" s="18" t="str">
        <f>IF(A990="","",A990/Inputs!$C$4)</f>
        <v/>
      </c>
      <c r="C990" s="18" t="str">
        <f>IF(A990="","",(Inputs!$C$3*Inputs!$C$2)/Inputs!$C$4)</f>
        <v/>
      </c>
      <c r="D990" s="18" t="str">
        <f>IF(A990 = MAX($A$2:A1000), Inputs!$C$2, "")</f>
        <v/>
      </c>
      <c r="E990" s="18" t="str">
        <f t="shared" si="1"/>
        <v/>
      </c>
    </row>
    <row r="991">
      <c r="B991" s="18" t="str">
        <f>IF(A991="","",A991/Inputs!$C$4)</f>
        <v/>
      </c>
      <c r="C991" s="18" t="str">
        <f>IF(A991="","",(Inputs!$C$3*Inputs!$C$2)/Inputs!$C$4)</f>
        <v/>
      </c>
      <c r="D991" s="18" t="str">
        <f>IF(A991 = MAX($A$2:A1000), Inputs!$C$2, "")</f>
        <v/>
      </c>
      <c r="E991" s="18" t="str">
        <f t="shared" si="1"/>
        <v/>
      </c>
    </row>
    <row r="992">
      <c r="B992" s="18" t="str">
        <f>IF(A992="","",A992/Inputs!$C$4)</f>
        <v/>
      </c>
      <c r="C992" s="18" t="str">
        <f>IF(A992="","",(Inputs!$C$3*Inputs!$C$2)/Inputs!$C$4)</f>
        <v/>
      </c>
      <c r="D992" s="18" t="str">
        <f>IF(A992 = MAX($A$2:A1000), Inputs!$C$2, "")</f>
        <v/>
      </c>
      <c r="E992" s="18" t="str">
        <f t="shared" si="1"/>
        <v/>
      </c>
    </row>
    <row r="993">
      <c r="B993" s="18" t="str">
        <f>IF(A993="","",A993/Inputs!$C$4)</f>
        <v/>
      </c>
      <c r="C993" s="18" t="str">
        <f>IF(A993="","",(Inputs!$C$3*Inputs!$C$2)/Inputs!$C$4)</f>
        <v/>
      </c>
      <c r="D993" s="18" t="str">
        <f>IF(A993 = MAX($A$2:A1000), Inputs!$C$2, "")</f>
        <v/>
      </c>
      <c r="E993" s="18" t="str">
        <f t="shared" si="1"/>
        <v/>
      </c>
    </row>
    <row r="994">
      <c r="B994" s="18" t="str">
        <f>IF(A994="","",A994/Inputs!$C$4)</f>
        <v/>
      </c>
      <c r="C994" s="18" t="str">
        <f>IF(A994="","",(Inputs!$C$3*Inputs!$C$2)/Inputs!$C$4)</f>
        <v/>
      </c>
      <c r="D994" s="18" t="str">
        <f>IF(A994 = MAX($A$2:A1000), Inputs!$C$2, "")</f>
        <v/>
      </c>
      <c r="E994" s="18" t="str">
        <f t="shared" si="1"/>
        <v/>
      </c>
    </row>
    <row r="995">
      <c r="B995" s="18" t="str">
        <f>IF(A995="","",A995/Inputs!$C$4)</f>
        <v/>
      </c>
      <c r="C995" s="18" t="str">
        <f>IF(A995="","",(Inputs!$C$3*Inputs!$C$2)/Inputs!$C$4)</f>
        <v/>
      </c>
      <c r="D995" s="18" t="str">
        <f>IF(A995 = MAX($A$2:A1000), Inputs!$C$2, "")</f>
        <v/>
      </c>
      <c r="E995" s="18" t="str">
        <f t="shared" si="1"/>
        <v/>
      </c>
    </row>
    <row r="996">
      <c r="B996" s="18" t="str">
        <f>IF(A996="","",A996/Inputs!$C$4)</f>
        <v/>
      </c>
      <c r="C996" s="18" t="str">
        <f>IF(A996="","",(Inputs!$C$3*Inputs!$C$2)/Inputs!$C$4)</f>
        <v/>
      </c>
      <c r="D996" s="18" t="str">
        <f>IF(A996 = MAX($A$2:A1000), Inputs!$C$2, "")</f>
        <v/>
      </c>
      <c r="E996" s="18" t="str">
        <f t="shared" si="1"/>
        <v/>
      </c>
    </row>
    <row r="997">
      <c r="B997" s="18" t="str">
        <f>IF(A997="","",A997/Inputs!$C$4)</f>
        <v/>
      </c>
      <c r="C997" s="18" t="str">
        <f>IF(A997="","",(Inputs!$C$3*Inputs!$C$2)/Inputs!$C$4)</f>
        <v/>
      </c>
      <c r="D997" s="18" t="str">
        <f>IF(A997 = MAX($A$2:A1000), Inputs!$C$2, "")</f>
        <v/>
      </c>
      <c r="E997" s="18" t="str">
        <f t="shared" si="1"/>
        <v/>
      </c>
    </row>
    <row r="998">
      <c r="B998" s="18" t="str">
        <f>IF(A998="","",A998/Inputs!$C$4)</f>
        <v/>
      </c>
      <c r="C998" s="18" t="str">
        <f>IF(A998="","",(Inputs!$C$3*Inputs!$C$2)/Inputs!$C$4)</f>
        <v/>
      </c>
      <c r="D998" s="18" t="str">
        <f>IF(A998 = MAX($A$2:A1000), Inputs!$C$2, "")</f>
        <v/>
      </c>
      <c r="E998" s="18" t="str">
        <f t="shared" si="1"/>
        <v/>
      </c>
    </row>
    <row r="999">
      <c r="B999" s="18" t="str">
        <f>IF(A999="","",A999/Inputs!$C$4)</f>
        <v/>
      </c>
      <c r="C999" s="18" t="str">
        <f>IF(A999="","",(Inputs!$C$3*Inputs!$C$2)/Inputs!$C$4)</f>
        <v/>
      </c>
      <c r="D999" s="18" t="str">
        <f>IF(A999 = MAX($A$2:A1000), Inputs!$C$2, "")</f>
        <v/>
      </c>
      <c r="E999" s="18" t="str">
        <f t="shared" si="1"/>
        <v/>
      </c>
    </row>
    <row r="1000">
      <c r="B1000" s="18" t="str">
        <f>IF(A1000="","",A1000/Inputs!$C$4)</f>
        <v/>
      </c>
      <c r="C1000" s="18" t="str">
        <f>IF(A1000="","",(Inputs!$C$3*Inputs!$C$2)/Inputs!$C$4)</f>
        <v/>
      </c>
      <c r="D1000" s="18" t="str">
        <f>IF(A1000 = MAX($A$2:A1000), Inputs!$C$2, "")</f>
        <v/>
      </c>
      <c r="E1000" s="18" t="str">
        <f t="shared" si="1"/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7" t="s">
        <v>13</v>
      </c>
      <c r="B1" s="17" t="s">
        <v>14</v>
      </c>
      <c r="C1" s="19" t="s">
        <v>15</v>
      </c>
      <c r="D1" s="17" t="s">
        <v>16</v>
      </c>
      <c r="E1" s="20" t="s">
        <v>17</v>
      </c>
    </row>
    <row r="2">
      <c r="A2" s="18">
        <f>'Cashflow Schedule'!B2</f>
        <v>1</v>
      </c>
      <c r="B2" s="18">
        <f>'Cashflow Schedule'!E2</f>
        <v>50000</v>
      </c>
      <c r="C2" s="21">
        <f>IF(A2="","",EXP(-Inputs!$C$7*A2))</f>
        <v>0.9656054163</v>
      </c>
      <c r="D2" s="22">
        <f t="shared" ref="D2:D1000" si="1">IF(A2="","",B2*C2)</f>
        <v>48280.27081</v>
      </c>
      <c r="E2" s="22">
        <f>IF(A2="","",Inputs!$C$6*D2)</f>
        <v>4345224.373</v>
      </c>
    </row>
    <row r="3">
      <c r="A3" s="18">
        <f>'Cashflow Schedule'!B3</f>
        <v>2</v>
      </c>
      <c r="B3" s="18">
        <f>'Cashflow Schedule'!E3</f>
        <v>1050000</v>
      </c>
      <c r="C3" s="21">
        <f>IF(A3="","",EXP(-Inputs!$C$7*A3))</f>
        <v>0.9323938199</v>
      </c>
      <c r="D3" s="22">
        <f t="shared" si="1"/>
        <v>979013.5109</v>
      </c>
      <c r="E3" s="22">
        <f>IF(A3="","",Inputs!$C$6*D3)</f>
        <v>88111215.98</v>
      </c>
    </row>
    <row r="4">
      <c r="A4" s="18" t="str">
        <f>'Cashflow Schedule'!B4</f>
        <v/>
      </c>
      <c r="B4" s="18" t="str">
        <f>'Cashflow Schedule'!E4</f>
        <v/>
      </c>
      <c r="C4" s="21" t="str">
        <f>IF(A4="","",EXP(-Inputs!$C$7*A4))</f>
        <v/>
      </c>
      <c r="D4" s="22" t="str">
        <f t="shared" si="1"/>
        <v/>
      </c>
      <c r="E4" s="22" t="str">
        <f>IF(A4="","",Inputs!$C$6*D4)</f>
        <v/>
      </c>
      <c r="H4" s="23" t="s">
        <v>18</v>
      </c>
      <c r="I4" s="24"/>
      <c r="J4" s="25">
        <f>SUM(E2:E1000)</f>
        <v>92456440.35</v>
      </c>
    </row>
    <row r="5">
      <c r="A5" s="18" t="str">
        <f>'Cashflow Schedule'!B5</f>
        <v/>
      </c>
      <c r="B5" s="18" t="str">
        <f>'Cashflow Schedule'!E5</f>
        <v/>
      </c>
      <c r="C5" s="21" t="str">
        <f>IF(A5="","",EXP(-Inputs!$C$7*A5))</f>
        <v/>
      </c>
      <c r="D5" s="22" t="str">
        <f t="shared" si="1"/>
        <v/>
      </c>
      <c r="E5" s="22" t="str">
        <f>IF(A5="","",Inputs!$C$6*D5)</f>
        <v/>
      </c>
    </row>
    <row r="6">
      <c r="A6" s="18" t="str">
        <f>'Cashflow Schedule'!B6</f>
        <v/>
      </c>
      <c r="B6" s="18" t="str">
        <f>'Cashflow Schedule'!E6</f>
        <v/>
      </c>
      <c r="C6" s="21" t="str">
        <f>IF(A6="","",EXP(-Inputs!$C$7*A6))</f>
        <v/>
      </c>
      <c r="D6" s="22" t="str">
        <f t="shared" si="1"/>
        <v/>
      </c>
      <c r="E6" s="22" t="str">
        <f>IF(A6="","",Inputs!$C$6*D6)</f>
        <v/>
      </c>
    </row>
    <row r="7">
      <c r="A7" s="18" t="str">
        <f>'Cashflow Schedule'!B7</f>
        <v/>
      </c>
      <c r="B7" s="18" t="str">
        <f>'Cashflow Schedule'!E7</f>
        <v/>
      </c>
      <c r="C7" s="21" t="str">
        <f>IF(A7="","",EXP(-Inputs!$C$7*A7))</f>
        <v/>
      </c>
      <c r="D7" s="22" t="str">
        <f t="shared" si="1"/>
        <v/>
      </c>
      <c r="E7" s="22" t="str">
        <f>IF(A7="","",Inputs!$C$6*D7)</f>
        <v/>
      </c>
    </row>
    <row r="8">
      <c r="A8" s="18" t="str">
        <f>'Cashflow Schedule'!B8</f>
        <v/>
      </c>
      <c r="B8" s="18" t="str">
        <f>'Cashflow Schedule'!E8</f>
        <v/>
      </c>
      <c r="C8" s="21" t="str">
        <f>IF(A8="","",EXP(-Inputs!$C$7*A8))</f>
        <v/>
      </c>
      <c r="D8" s="22" t="str">
        <f t="shared" si="1"/>
        <v/>
      </c>
      <c r="E8" s="22" t="str">
        <f>IF(A8="","",Inputs!$C$6*D8)</f>
        <v/>
      </c>
    </row>
    <row r="9">
      <c r="A9" s="18" t="str">
        <f>'Cashflow Schedule'!B9</f>
        <v/>
      </c>
      <c r="B9" s="18" t="str">
        <f>'Cashflow Schedule'!E9</f>
        <v/>
      </c>
      <c r="C9" s="21" t="str">
        <f>IF(A9="","",EXP(-Inputs!$C$7*A9))</f>
        <v/>
      </c>
      <c r="D9" s="22" t="str">
        <f t="shared" si="1"/>
        <v/>
      </c>
      <c r="E9" s="22" t="str">
        <f>IF(A9="","",Inputs!$C$6*D9)</f>
        <v/>
      </c>
    </row>
    <row r="10">
      <c r="A10" s="18" t="str">
        <f>'Cashflow Schedule'!B10</f>
        <v/>
      </c>
      <c r="B10" s="18" t="str">
        <f>'Cashflow Schedule'!E10</f>
        <v/>
      </c>
      <c r="C10" s="21" t="str">
        <f>IF(A10="","",EXP(-Inputs!$C$7*A10))</f>
        <v/>
      </c>
      <c r="D10" s="22" t="str">
        <f t="shared" si="1"/>
        <v/>
      </c>
      <c r="E10" s="22" t="str">
        <f>IF(A10="","",Inputs!$C$6*D10)</f>
        <v/>
      </c>
    </row>
    <row r="11">
      <c r="A11" s="18" t="str">
        <f>'Cashflow Schedule'!B11</f>
        <v/>
      </c>
      <c r="B11" s="18" t="str">
        <f>'Cashflow Schedule'!E11</f>
        <v/>
      </c>
      <c r="C11" s="21" t="str">
        <f>IF(A11="","",EXP(-Inputs!$C$7*A11))</f>
        <v/>
      </c>
      <c r="D11" s="22" t="str">
        <f t="shared" si="1"/>
        <v/>
      </c>
      <c r="E11" s="22" t="str">
        <f>IF(A11="","",Inputs!$C$6*D11)</f>
        <v/>
      </c>
    </row>
    <row r="12">
      <c r="A12" s="18" t="str">
        <f>'Cashflow Schedule'!B12</f>
        <v/>
      </c>
      <c r="B12" s="18" t="str">
        <f>'Cashflow Schedule'!E12</f>
        <v/>
      </c>
      <c r="C12" s="21" t="str">
        <f>IF(A12="","",EXP(-Inputs!$C$7*A12))</f>
        <v/>
      </c>
      <c r="D12" s="22" t="str">
        <f t="shared" si="1"/>
        <v/>
      </c>
      <c r="E12" s="22" t="str">
        <f>IF(A12="","",Inputs!$C$6*D12)</f>
        <v/>
      </c>
    </row>
    <row r="13">
      <c r="A13" s="18" t="str">
        <f>'Cashflow Schedule'!B13</f>
        <v/>
      </c>
      <c r="B13" s="18" t="str">
        <f>'Cashflow Schedule'!E13</f>
        <v/>
      </c>
      <c r="C13" s="21" t="str">
        <f>IF(A13="","",EXP(-Inputs!$C$7*A13))</f>
        <v/>
      </c>
      <c r="D13" s="22" t="str">
        <f t="shared" si="1"/>
        <v/>
      </c>
      <c r="E13" s="22" t="str">
        <f>IF(A13="","",Inputs!$C$6*D13)</f>
        <v/>
      </c>
    </row>
    <row r="14">
      <c r="A14" s="18" t="str">
        <f>'Cashflow Schedule'!B14</f>
        <v/>
      </c>
      <c r="B14" s="18" t="str">
        <f>'Cashflow Schedule'!E14</f>
        <v/>
      </c>
      <c r="C14" s="21" t="str">
        <f>IF(A14="","",EXP(-Inputs!$C$7*A14))</f>
        <v/>
      </c>
      <c r="D14" s="22" t="str">
        <f t="shared" si="1"/>
        <v/>
      </c>
      <c r="E14" s="22" t="str">
        <f>IF(A14="","",Inputs!$C$6*D14)</f>
        <v/>
      </c>
    </row>
    <row r="15">
      <c r="A15" s="18" t="str">
        <f>'Cashflow Schedule'!B15</f>
        <v/>
      </c>
      <c r="B15" s="18" t="str">
        <f>'Cashflow Schedule'!E15</f>
        <v/>
      </c>
      <c r="C15" s="21" t="str">
        <f>IF(A15="","",EXP(-Inputs!$C$7*A15))</f>
        <v/>
      </c>
      <c r="D15" s="22" t="str">
        <f t="shared" si="1"/>
        <v/>
      </c>
      <c r="E15" s="22" t="str">
        <f>IF(A15="","",Inputs!$C$6*D15)</f>
        <v/>
      </c>
    </row>
    <row r="16">
      <c r="A16" s="18" t="str">
        <f>'Cashflow Schedule'!B16</f>
        <v/>
      </c>
      <c r="B16" s="18" t="str">
        <f>'Cashflow Schedule'!E16</f>
        <v/>
      </c>
      <c r="C16" s="21" t="str">
        <f>IF(A16="","",EXP(-Inputs!$C$7*A16))</f>
        <v/>
      </c>
      <c r="D16" s="22" t="str">
        <f t="shared" si="1"/>
        <v/>
      </c>
      <c r="E16" s="22" t="str">
        <f>IF(A16="","",Inputs!$C$6*D16)</f>
        <v/>
      </c>
    </row>
    <row r="17">
      <c r="A17" s="18" t="str">
        <f>'Cashflow Schedule'!B17</f>
        <v/>
      </c>
      <c r="B17" s="18" t="str">
        <f>'Cashflow Schedule'!E17</f>
        <v/>
      </c>
      <c r="C17" s="21" t="str">
        <f>IF(A17="","",EXP(-Inputs!$C$7*A17))</f>
        <v/>
      </c>
      <c r="D17" s="22" t="str">
        <f t="shared" si="1"/>
        <v/>
      </c>
      <c r="E17" s="22" t="str">
        <f>IF(A17="","",Inputs!$C$6*D17)</f>
        <v/>
      </c>
    </row>
    <row r="18">
      <c r="A18" s="18" t="str">
        <f>'Cashflow Schedule'!B18</f>
        <v/>
      </c>
      <c r="B18" s="18" t="str">
        <f>'Cashflow Schedule'!E18</f>
        <v/>
      </c>
      <c r="C18" s="21" t="str">
        <f>IF(A18="","",EXP(-Inputs!$C$7*A18))</f>
        <v/>
      </c>
      <c r="D18" s="22" t="str">
        <f t="shared" si="1"/>
        <v/>
      </c>
      <c r="E18" s="22" t="str">
        <f>IF(A18="","",Inputs!$C$6*D18)</f>
        <v/>
      </c>
    </row>
    <row r="19">
      <c r="A19" s="18" t="str">
        <f>'Cashflow Schedule'!B19</f>
        <v/>
      </c>
      <c r="B19" s="18" t="str">
        <f>'Cashflow Schedule'!E19</f>
        <v/>
      </c>
      <c r="C19" s="21" t="str">
        <f>IF(A19="","",EXP(-Inputs!$C$7*A19))</f>
        <v/>
      </c>
      <c r="D19" s="22" t="str">
        <f t="shared" si="1"/>
        <v/>
      </c>
      <c r="E19" s="22" t="str">
        <f>IF(A19="","",Inputs!$C$6*D19)</f>
        <v/>
      </c>
    </row>
    <row r="20">
      <c r="A20" s="18" t="str">
        <f>'Cashflow Schedule'!B20</f>
        <v/>
      </c>
      <c r="B20" s="18" t="str">
        <f>'Cashflow Schedule'!E20</f>
        <v/>
      </c>
      <c r="C20" s="21" t="str">
        <f>IF(A20="","",EXP(-Inputs!$C$7*A20))</f>
        <v/>
      </c>
      <c r="D20" s="22" t="str">
        <f t="shared" si="1"/>
        <v/>
      </c>
      <c r="E20" s="22" t="str">
        <f>IF(A20="","",Inputs!$C$6*D20)</f>
        <v/>
      </c>
    </row>
    <row r="21">
      <c r="A21" s="18" t="str">
        <f>'Cashflow Schedule'!B21</f>
        <v/>
      </c>
      <c r="B21" s="18" t="str">
        <f>'Cashflow Schedule'!E21</f>
        <v/>
      </c>
      <c r="C21" s="21" t="str">
        <f>IF(A21="","",EXP(-Inputs!$C$7*A21))</f>
        <v/>
      </c>
      <c r="D21" s="22" t="str">
        <f t="shared" si="1"/>
        <v/>
      </c>
      <c r="E21" s="22" t="str">
        <f>IF(A21="","",Inputs!$C$6*D21)</f>
        <v/>
      </c>
    </row>
    <row r="22">
      <c r="A22" s="18" t="str">
        <f>'Cashflow Schedule'!B22</f>
        <v/>
      </c>
      <c r="B22" s="18" t="str">
        <f>'Cashflow Schedule'!E22</f>
        <v/>
      </c>
      <c r="C22" s="21" t="str">
        <f>IF(A22="","",EXP(-Inputs!$C$7*A22))</f>
        <v/>
      </c>
      <c r="D22" s="22" t="str">
        <f t="shared" si="1"/>
        <v/>
      </c>
      <c r="E22" s="22" t="str">
        <f>IF(A22="","",Inputs!$C$6*D22)</f>
        <v/>
      </c>
    </row>
    <row r="23">
      <c r="A23" s="18" t="str">
        <f>'Cashflow Schedule'!B23</f>
        <v/>
      </c>
      <c r="B23" s="18" t="str">
        <f>'Cashflow Schedule'!E23</f>
        <v/>
      </c>
      <c r="C23" s="21" t="str">
        <f>IF(A23="","",EXP(-Inputs!$C$7*A23))</f>
        <v/>
      </c>
      <c r="D23" s="22" t="str">
        <f t="shared" si="1"/>
        <v/>
      </c>
      <c r="E23" s="22" t="str">
        <f>IF(A23="","",Inputs!$C$6*D23)</f>
        <v/>
      </c>
    </row>
    <row r="24">
      <c r="A24" s="18" t="str">
        <f>'Cashflow Schedule'!B24</f>
        <v/>
      </c>
      <c r="B24" s="18" t="str">
        <f>'Cashflow Schedule'!E24</f>
        <v/>
      </c>
      <c r="C24" s="21" t="str">
        <f>IF(A24="","",EXP(-Inputs!$C$7*A24))</f>
        <v/>
      </c>
      <c r="D24" s="22" t="str">
        <f t="shared" si="1"/>
        <v/>
      </c>
      <c r="E24" s="22" t="str">
        <f>IF(A24="","",Inputs!$C$6*D24)</f>
        <v/>
      </c>
    </row>
    <row r="25">
      <c r="A25" s="18" t="str">
        <f>'Cashflow Schedule'!B25</f>
        <v/>
      </c>
      <c r="B25" s="18" t="str">
        <f>'Cashflow Schedule'!E25</f>
        <v/>
      </c>
      <c r="C25" s="21" t="str">
        <f>IF(A25="","",EXP(-Inputs!$C$7*A25))</f>
        <v/>
      </c>
      <c r="D25" s="22" t="str">
        <f t="shared" si="1"/>
        <v/>
      </c>
      <c r="E25" s="22" t="str">
        <f>IF(A25="","",Inputs!$C$6*D25)</f>
        <v/>
      </c>
    </row>
    <row r="26">
      <c r="A26" s="18" t="str">
        <f>'Cashflow Schedule'!B26</f>
        <v/>
      </c>
      <c r="B26" s="18" t="str">
        <f>'Cashflow Schedule'!E26</f>
        <v/>
      </c>
      <c r="C26" s="21" t="str">
        <f>IF(A26="","",EXP(-Inputs!$C$7*A26))</f>
        <v/>
      </c>
      <c r="D26" s="22" t="str">
        <f t="shared" si="1"/>
        <v/>
      </c>
      <c r="E26" s="22" t="str">
        <f>IF(A26="","",Inputs!$C$6*D26)</f>
        <v/>
      </c>
    </row>
    <row r="27">
      <c r="A27" s="18" t="str">
        <f>'Cashflow Schedule'!B27</f>
        <v/>
      </c>
      <c r="B27" s="18" t="str">
        <f>'Cashflow Schedule'!E27</f>
        <v/>
      </c>
      <c r="C27" s="21" t="str">
        <f>IF(A27="","",EXP(-Inputs!$C$7*A27))</f>
        <v/>
      </c>
      <c r="D27" s="22" t="str">
        <f t="shared" si="1"/>
        <v/>
      </c>
      <c r="E27" s="22" t="str">
        <f>IF(A27="","",Inputs!$C$6*D27)</f>
        <v/>
      </c>
    </row>
    <row r="28">
      <c r="A28" s="18" t="str">
        <f>'Cashflow Schedule'!B28</f>
        <v/>
      </c>
      <c r="B28" s="18" t="str">
        <f>'Cashflow Schedule'!E28</f>
        <v/>
      </c>
      <c r="C28" s="21" t="str">
        <f>IF(A28="","",EXP(-Inputs!$C$7*A28))</f>
        <v/>
      </c>
      <c r="D28" s="22" t="str">
        <f t="shared" si="1"/>
        <v/>
      </c>
      <c r="E28" s="22" t="str">
        <f>IF(A28="","",Inputs!$C$6*D28)</f>
        <v/>
      </c>
    </row>
    <row r="29">
      <c r="A29" s="18" t="str">
        <f>'Cashflow Schedule'!B29</f>
        <v/>
      </c>
      <c r="B29" s="18" t="str">
        <f>'Cashflow Schedule'!E29</f>
        <v/>
      </c>
      <c r="C29" s="21" t="str">
        <f>IF(A29="","",EXP(-Inputs!$C$7*A29))</f>
        <v/>
      </c>
      <c r="D29" s="22" t="str">
        <f t="shared" si="1"/>
        <v/>
      </c>
      <c r="E29" s="22" t="str">
        <f>IF(A29="","",Inputs!$C$6*D29)</f>
        <v/>
      </c>
    </row>
    <row r="30">
      <c r="A30" s="18" t="str">
        <f>'Cashflow Schedule'!B30</f>
        <v/>
      </c>
      <c r="B30" s="18" t="str">
        <f>'Cashflow Schedule'!E30</f>
        <v/>
      </c>
      <c r="C30" s="21" t="str">
        <f>IF(A30="","",EXP(-Inputs!$C$7*A30))</f>
        <v/>
      </c>
      <c r="D30" s="22" t="str">
        <f t="shared" si="1"/>
        <v/>
      </c>
      <c r="E30" s="22" t="str">
        <f>IF(A30="","",Inputs!$C$6*D30)</f>
        <v/>
      </c>
    </row>
    <row r="31">
      <c r="A31" s="18" t="str">
        <f>'Cashflow Schedule'!B31</f>
        <v/>
      </c>
      <c r="B31" s="18" t="str">
        <f>'Cashflow Schedule'!E31</f>
        <v/>
      </c>
      <c r="C31" s="21" t="str">
        <f>IF(A31="","",EXP(-Inputs!$C$7*A31))</f>
        <v/>
      </c>
      <c r="D31" s="22" t="str">
        <f t="shared" si="1"/>
        <v/>
      </c>
      <c r="E31" s="22" t="str">
        <f>IF(A31="","",Inputs!$C$6*D31)</f>
        <v/>
      </c>
    </row>
    <row r="32">
      <c r="A32" s="18" t="str">
        <f>'Cashflow Schedule'!B32</f>
        <v/>
      </c>
      <c r="B32" s="18" t="str">
        <f>'Cashflow Schedule'!E32</f>
        <v/>
      </c>
      <c r="C32" s="21" t="str">
        <f>IF(A32="","",EXP(-Inputs!$C$7*A32))</f>
        <v/>
      </c>
      <c r="D32" s="22" t="str">
        <f t="shared" si="1"/>
        <v/>
      </c>
      <c r="E32" s="22" t="str">
        <f>IF(A32="","",Inputs!$C$6*D32)</f>
        <v/>
      </c>
    </row>
    <row r="33">
      <c r="A33" s="18" t="str">
        <f>'Cashflow Schedule'!B33</f>
        <v/>
      </c>
      <c r="B33" s="18" t="str">
        <f>'Cashflow Schedule'!E33</f>
        <v/>
      </c>
      <c r="C33" s="21" t="str">
        <f>IF(A33="","",EXP(-Inputs!$C$7*A33))</f>
        <v/>
      </c>
      <c r="D33" s="22" t="str">
        <f t="shared" si="1"/>
        <v/>
      </c>
      <c r="E33" s="22" t="str">
        <f>IF(A33="","",Inputs!$C$6*D33)</f>
        <v/>
      </c>
    </row>
    <row r="34">
      <c r="A34" s="18" t="str">
        <f>'Cashflow Schedule'!B34</f>
        <v/>
      </c>
      <c r="B34" s="18" t="str">
        <f>'Cashflow Schedule'!E34</f>
        <v/>
      </c>
      <c r="C34" s="21" t="str">
        <f>IF(A34="","",EXP(-Inputs!$C$7*A34))</f>
        <v/>
      </c>
      <c r="D34" s="22" t="str">
        <f t="shared" si="1"/>
        <v/>
      </c>
      <c r="E34" s="22" t="str">
        <f>IF(A34="","",Inputs!$C$6*D34)</f>
        <v/>
      </c>
    </row>
    <row r="35">
      <c r="A35" s="18" t="str">
        <f>'Cashflow Schedule'!B35</f>
        <v/>
      </c>
      <c r="B35" s="18" t="str">
        <f>'Cashflow Schedule'!E35</f>
        <v/>
      </c>
      <c r="C35" s="21" t="str">
        <f>IF(A35="","",EXP(-Inputs!$C$7*A35))</f>
        <v/>
      </c>
      <c r="D35" s="22" t="str">
        <f t="shared" si="1"/>
        <v/>
      </c>
      <c r="E35" s="22" t="str">
        <f>IF(A35="","",Inputs!$C$6*D35)</f>
        <v/>
      </c>
    </row>
    <row r="36">
      <c r="A36" s="18" t="str">
        <f>'Cashflow Schedule'!B36</f>
        <v/>
      </c>
      <c r="B36" s="18" t="str">
        <f>'Cashflow Schedule'!E36</f>
        <v/>
      </c>
      <c r="C36" s="21" t="str">
        <f>IF(A36="","",EXP(-Inputs!$C$7*A36))</f>
        <v/>
      </c>
      <c r="D36" s="22" t="str">
        <f t="shared" si="1"/>
        <v/>
      </c>
      <c r="E36" s="22" t="str">
        <f>IF(A36="","",Inputs!$C$6*D36)</f>
        <v/>
      </c>
    </row>
    <row r="37">
      <c r="A37" s="18" t="str">
        <f>'Cashflow Schedule'!B37</f>
        <v/>
      </c>
      <c r="B37" s="18" t="str">
        <f>'Cashflow Schedule'!E37</f>
        <v/>
      </c>
      <c r="C37" s="21" t="str">
        <f>IF(A37="","",EXP(-Inputs!$C$7*A37))</f>
        <v/>
      </c>
      <c r="D37" s="22" t="str">
        <f t="shared" si="1"/>
        <v/>
      </c>
      <c r="E37" s="22" t="str">
        <f>IF(A37="","",Inputs!$C$6*D37)</f>
        <v/>
      </c>
    </row>
    <row r="38">
      <c r="A38" s="18" t="str">
        <f>'Cashflow Schedule'!B38</f>
        <v/>
      </c>
      <c r="B38" s="18" t="str">
        <f>'Cashflow Schedule'!E38</f>
        <v/>
      </c>
      <c r="C38" s="21" t="str">
        <f>IF(A38="","",EXP(-Inputs!$C$7*A38))</f>
        <v/>
      </c>
      <c r="D38" s="22" t="str">
        <f t="shared" si="1"/>
        <v/>
      </c>
      <c r="E38" s="22" t="str">
        <f>IF(A38="","",Inputs!$C$6*D38)</f>
        <v/>
      </c>
    </row>
    <row r="39">
      <c r="A39" s="18" t="str">
        <f>'Cashflow Schedule'!B39</f>
        <v/>
      </c>
      <c r="B39" s="18" t="str">
        <f>'Cashflow Schedule'!E39</f>
        <v/>
      </c>
      <c r="C39" s="21" t="str">
        <f>IF(A39="","",EXP(-Inputs!$C$7*A39))</f>
        <v/>
      </c>
      <c r="D39" s="22" t="str">
        <f t="shared" si="1"/>
        <v/>
      </c>
      <c r="E39" s="22" t="str">
        <f>IF(A39="","",Inputs!$C$6*D39)</f>
        <v/>
      </c>
    </row>
    <row r="40">
      <c r="A40" s="18" t="str">
        <f>'Cashflow Schedule'!B40</f>
        <v/>
      </c>
      <c r="B40" s="18" t="str">
        <f>'Cashflow Schedule'!E40</f>
        <v/>
      </c>
      <c r="C40" s="21" t="str">
        <f>IF(A40="","",EXP(-Inputs!$C$7*A40))</f>
        <v/>
      </c>
      <c r="D40" s="22" t="str">
        <f t="shared" si="1"/>
        <v/>
      </c>
      <c r="E40" s="22" t="str">
        <f>IF(A40="","",Inputs!$C$6*D40)</f>
        <v/>
      </c>
    </row>
    <row r="41">
      <c r="A41" s="18" t="str">
        <f>'Cashflow Schedule'!B41</f>
        <v/>
      </c>
      <c r="B41" s="18" t="str">
        <f>'Cashflow Schedule'!E41</f>
        <v/>
      </c>
      <c r="C41" s="21" t="str">
        <f>IF(A41="","",EXP(-Inputs!$C$7*A41))</f>
        <v/>
      </c>
      <c r="D41" s="22" t="str">
        <f t="shared" si="1"/>
        <v/>
      </c>
      <c r="E41" s="22" t="str">
        <f>IF(A41="","",Inputs!$C$6*D41)</f>
        <v/>
      </c>
    </row>
    <row r="42">
      <c r="A42" s="18" t="str">
        <f>'Cashflow Schedule'!B42</f>
        <v/>
      </c>
      <c r="B42" s="18" t="str">
        <f>'Cashflow Schedule'!E42</f>
        <v/>
      </c>
      <c r="C42" s="21" t="str">
        <f>IF(A42="","",EXP(-Inputs!$C$7*A42))</f>
        <v/>
      </c>
      <c r="D42" s="22" t="str">
        <f t="shared" si="1"/>
        <v/>
      </c>
      <c r="E42" s="22" t="str">
        <f>IF(A42="","",Inputs!$C$6*D42)</f>
        <v/>
      </c>
    </row>
    <row r="43">
      <c r="A43" s="18" t="str">
        <f>'Cashflow Schedule'!B43</f>
        <v/>
      </c>
      <c r="B43" s="18" t="str">
        <f>'Cashflow Schedule'!E43</f>
        <v/>
      </c>
      <c r="C43" s="21" t="str">
        <f>IF(A43="","",EXP(-Inputs!$C$7*A43))</f>
        <v/>
      </c>
      <c r="D43" s="22" t="str">
        <f t="shared" si="1"/>
        <v/>
      </c>
      <c r="E43" s="22" t="str">
        <f>IF(A43="","",Inputs!$C$6*D43)</f>
        <v/>
      </c>
    </row>
    <row r="44">
      <c r="A44" s="18" t="str">
        <f>'Cashflow Schedule'!B44</f>
        <v/>
      </c>
      <c r="B44" s="18" t="str">
        <f>'Cashflow Schedule'!E44</f>
        <v/>
      </c>
      <c r="C44" s="21" t="str">
        <f>IF(A44="","",EXP(-Inputs!$C$7*A44))</f>
        <v/>
      </c>
      <c r="D44" s="22" t="str">
        <f t="shared" si="1"/>
        <v/>
      </c>
      <c r="E44" s="22" t="str">
        <f>IF(A44="","",Inputs!$C$6*D44)</f>
        <v/>
      </c>
    </row>
    <row r="45">
      <c r="A45" s="18" t="str">
        <f>'Cashflow Schedule'!B45</f>
        <v/>
      </c>
      <c r="B45" s="18" t="str">
        <f>'Cashflow Schedule'!E45</f>
        <v/>
      </c>
      <c r="C45" s="21" t="str">
        <f>IF(A45="","",EXP(-Inputs!$C$7*A45))</f>
        <v/>
      </c>
      <c r="D45" s="22" t="str">
        <f t="shared" si="1"/>
        <v/>
      </c>
      <c r="E45" s="22" t="str">
        <f>IF(A45="","",Inputs!$C$6*D45)</f>
        <v/>
      </c>
    </row>
    <row r="46">
      <c r="A46" s="18" t="str">
        <f>'Cashflow Schedule'!B46</f>
        <v/>
      </c>
      <c r="B46" s="18" t="str">
        <f>'Cashflow Schedule'!E46</f>
        <v/>
      </c>
      <c r="C46" s="21" t="str">
        <f>IF(A46="","",EXP(-Inputs!$C$7*A46))</f>
        <v/>
      </c>
      <c r="D46" s="22" t="str">
        <f t="shared" si="1"/>
        <v/>
      </c>
      <c r="E46" s="22" t="str">
        <f>IF(A46="","",Inputs!$C$6*D46)</f>
        <v/>
      </c>
    </row>
    <row r="47">
      <c r="A47" s="18" t="str">
        <f>'Cashflow Schedule'!B47</f>
        <v/>
      </c>
      <c r="B47" s="18" t="str">
        <f>'Cashflow Schedule'!E47</f>
        <v/>
      </c>
      <c r="C47" s="21" t="str">
        <f>IF(A47="","",EXP(-Inputs!$C$7*A47))</f>
        <v/>
      </c>
      <c r="D47" s="22" t="str">
        <f t="shared" si="1"/>
        <v/>
      </c>
      <c r="E47" s="22" t="str">
        <f>IF(A47="","",Inputs!$C$6*D47)</f>
        <v/>
      </c>
    </row>
    <row r="48">
      <c r="A48" s="18" t="str">
        <f>'Cashflow Schedule'!B48</f>
        <v/>
      </c>
      <c r="B48" s="18" t="str">
        <f>'Cashflow Schedule'!E48</f>
        <v/>
      </c>
      <c r="C48" s="21" t="str">
        <f>IF(A48="","",EXP(-Inputs!$C$7*A48))</f>
        <v/>
      </c>
      <c r="D48" s="22" t="str">
        <f t="shared" si="1"/>
        <v/>
      </c>
      <c r="E48" s="22" t="str">
        <f>IF(A48="","",Inputs!$C$6*D48)</f>
        <v/>
      </c>
    </row>
    <row r="49">
      <c r="A49" s="18" t="str">
        <f>'Cashflow Schedule'!B49</f>
        <v/>
      </c>
      <c r="B49" s="18" t="str">
        <f>'Cashflow Schedule'!E49</f>
        <v/>
      </c>
      <c r="C49" s="21" t="str">
        <f>IF(A49="","",EXP(-Inputs!$C$7*A49))</f>
        <v/>
      </c>
      <c r="D49" s="22" t="str">
        <f t="shared" si="1"/>
        <v/>
      </c>
      <c r="E49" s="22" t="str">
        <f>IF(A49="","",Inputs!$C$6*D49)</f>
        <v/>
      </c>
    </row>
    <row r="50">
      <c r="A50" s="18" t="str">
        <f>'Cashflow Schedule'!B50</f>
        <v/>
      </c>
      <c r="B50" s="18" t="str">
        <f>'Cashflow Schedule'!E50</f>
        <v/>
      </c>
      <c r="C50" s="21" t="str">
        <f>IF(A50="","",EXP(-Inputs!$C$7*A50))</f>
        <v/>
      </c>
      <c r="D50" s="22" t="str">
        <f t="shared" si="1"/>
        <v/>
      </c>
      <c r="E50" s="22" t="str">
        <f>IF(A50="","",Inputs!$C$6*D50)</f>
        <v/>
      </c>
    </row>
    <row r="51">
      <c r="A51" s="18" t="str">
        <f>'Cashflow Schedule'!B51</f>
        <v/>
      </c>
      <c r="B51" s="18" t="str">
        <f>'Cashflow Schedule'!E51</f>
        <v/>
      </c>
      <c r="C51" s="21" t="str">
        <f>IF(A51="","",EXP(-Inputs!$C$7*A51))</f>
        <v/>
      </c>
      <c r="D51" s="22" t="str">
        <f t="shared" si="1"/>
        <v/>
      </c>
      <c r="E51" s="22" t="str">
        <f>IF(A51="","",Inputs!$C$6*D51)</f>
        <v/>
      </c>
    </row>
    <row r="52">
      <c r="A52" s="18" t="str">
        <f>'Cashflow Schedule'!B52</f>
        <v/>
      </c>
      <c r="B52" s="18" t="str">
        <f>'Cashflow Schedule'!E52</f>
        <v/>
      </c>
      <c r="C52" s="21" t="str">
        <f>IF(A52="","",EXP(-Inputs!$C$7*A52))</f>
        <v/>
      </c>
      <c r="D52" s="22" t="str">
        <f t="shared" si="1"/>
        <v/>
      </c>
      <c r="E52" s="22" t="str">
        <f>IF(A52="","",Inputs!$C$6*D52)</f>
        <v/>
      </c>
    </row>
    <row r="53">
      <c r="A53" s="18" t="str">
        <f>'Cashflow Schedule'!B53</f>
        <v/>
      </c>
      <c r="B53" s="18" t="str">
        <f>'Cashflow Schedule'!E53</f>
        <v/>
      </c>
      <c r="C53" s="21" t="str">
        <f>IF(A53="","",EXP(-Inputs!$C$7*A53))</f>
        <v/>
      </c>
      <c r="D53" s="22" t="str">
        <f t="shared" si="1"/>
        <v/>
      </c>
      <c r="E53" s="22" t="str">
        <f>IF(A53="","",Inputs!$C$6*D53)</f>
        <v/>
      </c>
    </row>
    <row r="54">
      <c r="A54" s="18" t="str">
        <f>'Cashflow Schedule'!B54</f>
        <v/>
      </c>
      <c r="B54" s="18" t="str">
        <f>'Cashflow Schedule'!E54</f>
        <v/>
      </c>
      <c r="C54" s="21" t="str">
        <f>IF(A54="","",EXP(-Inputs!$C$7*A54))</f>
        <v/>
      </c>
      <c r="D54" s="22" t="str">
        <f t="shared" si="1"/>
        <v/>
      </c>
      <c r="E54" s="22" t="str">
        <f>IF(A54="","",Inputs!$C$6*D54)</f>
        <v/>
      </c>
    </row>
    <row r="55">
      <c r="A55" s="18" t="str">
        <f>'Cashflow Schedule'!B55</f>
        <v/>
      </c>
      <c r="B55" s="18" t="str">
        <f>'Cashflow Schedule'!E55</f>
        <v/>
      </c>
      <c r="C55" s="21" t="str">
        <f>IF(A55="","",EXP(-Inputs!$C$7*A55))</f>
        <v/>
      </c>
      <c r="D55" s="22" t="str">
        <f t="shared" si="1"/>
        <v/>
      </c>
      <c r="E55" s="22" t="str">
        <f>IF(A55="","",Inputs!$C$6*D55)</f>
        <v/>
      </c>
    </row>
    <row r="56">
      <c r="A56" s="18" t="str">
        <f>'Cashflow Schedule'!B56</f>
        <v/>
      </c>
      <c r="B56" s="18" t="str">
        <f>'Cashflow Schedule'!E56</f>
        <v/>
      </c>
      <c r="C56" s="21" t="str">
        <f>IF(A56="","",EXP(-Inputs!$C$7*A56))</f>
        <v/>
      </c>
      <c r="D56" s="22" t="str">
        <f t="shared" si="1"/>
        <v/>
      </c>
      <c r="E56" s="22" t="str">
        <f>IF(A56="","",Inputs!$C$6*D56)</f>
        <v/>
      </c>
    </row>
    <row r="57">
      <c r="A57" s="18" t="str">
        <f>'Cashflow Schedule'!B57</f>
        <v/>
      </c>
      <c r="B57" s="18" t="str">
        <f>'Cashflow Schedule'!E57</f>
        <v/>
      </c>
      <c r="C57" s="21" t="str">
        <f>IF(A57="","",EXP(-Inputs!$C$7*A57))</f>
        <v/>
      </c>
      <c r="D57" s="22" t="str">
        <f t="shared" si="1"/>
        <v/>
      </c>
      <c r="E57" s="22" t="str">
        <f>IF(A57="","",Inputs!$C$6*D57)</f>
        <v/>
      </c>
    </row>
    <row r="58">
      <c r="A58" s="18" t="str">
        <f>'Cashflow Schedule'!B58</f>
        <v/>
      </c>
      <c r="B58" s="18" t="str">
        <f>'Cashflow Schedule'!E58</f>
        <v/>
      </c>
      <c r="C58" s="21" t="str">
        <f>IF(A58="","",EXP(-Inputs!$C$7*A58))</f>
        <v/>
      </c>
      <c r="D58" s="22" t="str">
        <f t="shared" si="1"/>
        <v/>
      </c>
      <c r="E58" s="22" t="str">
        <f>IF(A58="","",Inputs!$C$6*D58)</f>
        <v/>
      </c>
    </row>
    <row r="59">
      <c r="A59" s="18" t="str">
        <f>'Cashflow Schedule'!B59</f>
        <v/>
      </c>
      <c r="B59" s="18" t="str">
        <f>'Cashflow Schedule'!E59</f>
        <v/>
      </c>
      <c r="C59" s="21" t="str">
        <f>IF(A59="","",EXP(-Inputs!$C$7*A59))</f>
        <v/>
      </c>
      <c r="D59" s="22" t="str">
        <f t="shared" si="1"/>
        <v/>
      </c>
      <c r="E59" s="22" t="str">
        <f>IF(A59="","",Inputs!$C$6*D59)</f>
        <v/>
      </c>
    </row>
    <row r="60">
      <c r="A60" s="18" t="str">
        <f>'Cashflow Schedule'!B60</f>
        <v/>
      </c>
      <c r="B60" s="18" t="str">
        <f>'Cashflow Schedule'!E60</f>
        <v/>
      </c>
      <c r="C60" s="21" t="str">
        <f>IF(A60="","",EXP(-Inputs!$C$7*A60))</f>
        <v/>
      </c>
      <c r="D60" s="22" t="str">
        <f t="shared" si="1"/>
        <v/>
      </c>
      <c r="E60" s="22" t="str">
        <f>IF(A60="","",Inputs!$C$6*D60)</f>
        <v/>
      </c>
    </row>
    <row r="61">
      <c r="A61" s="18" t="str">
        <f>'Cashflow Schedule'!B61</f>
        <v/>
      </c>
      <c r="B61" s="18" t="str">
        <f>'Cashflow Schedule'!E61</f>
        <v/>
      </c>
      <c r="C61" s="21" t="str">
        <f>IF(A61="","",EXP(-Inputs!$C$7*A61))</f>
        <v/>
      </c>
      <c r="D61" s="22" t="str">
        <f t="shared" si="1"/>
        <v/>
      </c>
      <c r="E61" s="22" t="str">
        <f>IF(A61="","",Inputs!$C$6*D61)</f>
        <v/>
      </c>
    </row>
    <row r="62">
      <c r="A62" s="18" t="str">
        <f>'Cashflow Schedule'!B62</f>
        <v/>
      </c>
      <c r="B62" s="18" t="str">
        <f>'Cashflow Schedule'!E62</f>
        <v/>
      </c>
      <c r="C62" s="21" t="str">
        <f>IF(A62="","",EXP(-Inputs!$C$7*A62))</f>
        <v/>
      </c>
      <c r="D62" s="22" t="str">
        <f t="shared" si="1"/>
        <v/>
      </c>
      <c r="E62" s="22" t="str">
        <f>IF(A62="","",Inputs!$C$6*D62)</f>
        <v/>
      </c>
    </row>
    <row r="63">
      <c r="A63" s="18" t="str">
        <f>'Cashflow Schedule'!B63</f>
        <v/>
      </c>
      <c r="B63" s="18" t="str">
        <f>'Cashflow Schedule'!E63</f>
        <v/>
      </c>
      <c r="C63" s="21" t="str">
        <f>IF(A63="","",EXP(-Inputs!$C$7*A63))</f>
        <v/>
      </c>
      <c r="D63" s="22" t="str">
        <f t="shared" si="1"/>
        <v/>
      </c>
      <c r="E63" s="22" t="str">
        <f>IF(A63="","",Inputs!$C$6*D63)</f>
        <v/>
      </c>
    </row>
    <row r="64">
      <c r="A64" s="18" t="str">
        <f>'Cashflow Schedule'!B64</f>
        <v/>
      </c>
      <c r="B64" s="18" t="str">
        <f>'Cashflow Schedule'!E64</f>
        <v/>
      </c>
      <c r="C64" s="21" t="str">
        <f>IF(A64="","",EXP(-Inputs!$C$7*A64))</f>
        <v/>
      </c>
      <c r="D64" s="22" t="str">
        <f t="shared" si="1"/>
        <v/>
      </c>
      <c r="E64" s="22" t="str">
        <f>IF(A64="","",Inputs!$C$6*D64)</f>
        <v/>
      </c>
    </row>
    <row r="65">
      <c r="A65" s="18" t="str">
        <f>'Cashflow Schedule'!B65</f>
        <v/>
      </c>
      <c r="B65" s="18" t="str">
        <f>'Cashflow Schedule'!E65</f>
        <v/>
      </c>
      <c r="C65" s="21" t="str">
        <f>IF(A65="","",EXP(-Inputs!$C$7*A65))</f>
        <v/>
      </c>
      <c r="D65" s="22" t="str">
        <f t="shared" si="1"/>
        <v/>
      </c>
      <c r="E65" s="22" t="str">
        <f>IF(A65="","",Inputs!$C$6*D65)</f>
        <v/>
      </c>
    </row>
    <row r="66">
      <c r="A66" s="18" t="str">
        <f>'Cashflow Schedule'!B66</f>
        <v/>
      </c>
      <c r="B66" s="18" t="str">
        <f>'Cashflow Schedule'!E66</f>
        <v/>
      </c>
      <c r="C66" s="21" t="str">
        <f>IF(A66="","",EXP(-Inputs!$C$7*A66))</f>
        <v/>
      </c>
      <c r="D66" s="22" t="str">
        <f t="shared" si="1"/>
        <v/>
      </c>
      <c r="E66" s="22" t="str">
        <f>IF(A66="","",Inputs!$C$6*D66)</f>
        <v/>
      </c>
    </row>
    <row r="67">
      <c r="A67" s="18" t="str">
        <f>'Cashflow Schedule'!B67</f>
        <v/>
      </c>
      <c r="B67" s="18" t="str">
        <f>'Cashflow Schedule'!E67</f>
        <v/>
      </c>
      <c r="C67" s="21" t="str">
        <f>IF(A67="","",EXP(-Inputs!$C$7*A67))</f>
        <v/>
      </c>
      <c r="D67" s="22" t="str">
        <f t="shared" si="1"/>
        <v/>
      </c>
      <c r="E67" s="22" t="str">
        <f>IF(A67="","",Inputs!$C$6*D67)</f>
        <v/>
      </c>
    </row>
    <row r="68">
      <c r="A68" s="18" t="str">
        <f>'Cashflow Schedule'!B68</f>
        <v/>
      </c>
      <c r="B68" s="18" t="str">
        <f>'Cashflow Schedule'!E68</f>
        <v/>
      </c>
      <c r="C68" s="21" t="str">
        <f>IF(A68="","",EXP(-Inputs!$C$7*A68))</f>
        <v/>
      </c>
      <c r="D68" s="22" t="str">
        <f t="shared" si="1"/>
        <v/>
      </c>
      <c r="E68" s="22" t="str">
        <f>IF(A68="","",Inputs!$C$6*D68)</f>
        <v/>
      </c>
    </row>
    <row r="69">
      <c r="A69" s="18" t="str">
        <f>'Cashflow Schedule'!B69</f>
        <v/>
      </c>
      <c r="B69" s="18" t="str">
        <f>'Cashflow Schedule'!E69</f>
        <v/>
      </c>
      <c r="C69" s="21" t="str">
        <f>IF(A69="","",EXP(-Inputs!$C$7*A69))</f>
        <v/>
      </c>
      <c r="D69" s="22" t="str">
        <f t="shared" si="1"/>
        <v/>
      </c>
      <c r="E69" s="22" t="str">
        <f>IF(A69="","",Inputs!$C$6*D69)</f>
        <v/>
      </c>
    </row>
    <row r="70">
      <c r="A70" s="18" t="str">
        <f>'Cashflow Schedule'!B70</f>
        <v/>
      </c>
      <c r="B70" s="18" t="str">
        <f>'Cashflow Schedule'!E70</f>
        <v/>
      </c>
      <c r="C70" s="21" t="str">
        <f>IF(A70="","",EXP(-Inputs!$C$7*A70))</f>
        <v/>
      </c>
      <c r="D70" s="22" t="str">
        <f t="shared" si="1"/>
        <v/>
      </c>
      <c r="E70" s="22" t="str">
        <f>IF(A70="","",Inputs!$C$6*D70)</f>
        <v/>
      </c>
    </row>
    <row r="71">
      <c r="A71" s="18" t="str">
        <f>'Cashflow Schedule'!B71</f>
        <v/>
      </c>
      <c r="B71" s="18" t="str">
        <f>'Cashflow Schedule'!E71</f>
        <v/>
      </c>
      <c r="C71" s="21" t="str">
        <f>IF(A71="","",EXP(-Inputs!$C$7*A71))</f>
        <v/>
      </c>
      <c r="D71" s="22" t="str">
        <f t="shared" si="1"/>
        <v/>
      </c>
      <c r="E71" s="22" t="str">
        <f>IF(A71="","",Inputs!$C$6*D71)</f>
        <v/>
      </c>
    </row>
    <row r="72">
      <c r="A72" s="18" t="str">
        <f>'Cashflow Schedule'!B72</f>
        <v/>
      </c>
      <c r="B72" s="18" t="str">
        <f>'Cashflow Schedule'!E72</f>
        <v/>
      </c>
      <c r="C72" s="21" t="str">
        <f>IF(A72="","",EXP(-Inputs!$C$7*A72))</f>
        <v/>
      </c>
      <c r="D72" s="22" t="str">
        <f t="shared" si="1"/>
        <v/>
      </c>
      <c r="E72" s="22" t="str">
        <f>IF(A72="","",Inputs!$C$6*D72)</f>
        <v/>
      </c>
    </row>
    <row r="73">
      <c r="A73" s="18" t="str">
        <f>'Cashflow Schedule'!B73</f>
        <v/>
      </c>
      <c r="B73" s="18" t="str">
        <f>'Cashflow Schedule'!E73</f>
        <v/>
      </c>
      <c r="C73" s="21" t="str">
        <f>IF(A73="","",EXP(-Inputs!$C$7*A73))</f>
        <v/>
      </c>
      <c r="D73" s="22" t="str">
        <f t="shared" si="1"/>
        <v/>
      </c>
      <c r="E73" s="22" t="str">
        <f>IF(A73="","",Inputs!$C$6*D73)</f>
        <v/>
      </c>
    </row>
    <row r="74">
      <c r="A74" s="18" t="str">
        <f>'Cashflow Schedule'!B74</f>
        <v/>
      </c>
      <c r="B74" s="18" t="str">
        <f>'Cashflow Schedule'!E74</f>
        <v/>
      </c>
      <c r="C74" s="21" t="str">
        <f>IF(A74="","",EXP(-Inputs!$C$7*A74))</f>
        <v/>
      </c>
      <c r="D74" s="22" t="str">
        <f t="shared" si="1"/>
        <v/>
      </c>
      <c r="E74" s="22" t="str">
        <f>IF(A74="","",Inputs!$C$6*D74)</f>
        <v/>
      </c>
    </row>
    <row r="75">
      <c r="A75" s="18" t="str">
        <f>'Cashflow Schedule'!B75</f>
        <v/>
      </c>
      <c r="B75" s="18" t="str">
        <f>'Cashflow Schedule'!E75</f>
        <v/>
      </c>
      <c r="C75" s="21" t="str">
        <f>IF(A75="","",EXP(-Inputs!$C$7*A75))</f>
        <v/>
      </c>
      <c r="D75" s="22" t="str">
        <f t="shared" si="1"/>
        <v/>
      </c>
      <c r="E75" s="22" t="str">
        <f>IF(A75="","",Inputs!$C$6*D75)</f>
        <v/>
      </c>
    </row>
    <row r="76">
      <c r="A76" s="18" t="str">
        <f>'Cashflow Schedule'!B76</f>
        <v/>
      </c>
      <c r="B76" s="18" t="str">
        <f>'Cashflow Schedule'!E76</f>
        <v/>
      </c>
      <c r="C76" s="21" t="str">
        <f>IF(A76="","",EXP(-Inputs!$C$7*A76))</f>
        <v/>
      </c>
      <c r="D76" s="22" t="str">
        <f t="shared" si="1"/>
        <v/>
      </c>
      <c r="E76" s="22" t="str">
        <f>IF(A76="","",Inputs!$C$6*D76)</f>
        <v/>
      </c>
    </row>
    <row r="77">
      <c r="A77" s="18" t="str">
        <f>'Cashflow Schedule'!B77</f>
        <v/>
      </c>
      <c r="B77" s="18" t="str">
        <f>'Cashflow Schedule'!E77</f>
        <v/>
      </c>
      <c r="C77" s="21" t="str">
        <f>IF(A77="","",EXP(-Inputs!$C$7*A77))</f>
        <v/>
      </c>
      <c r="D77" s="22" t="str">
        <f t="shared" si="1"/>
        <v/>
      </c>
      <c r="E77" s="22" t="str">
        <f>IF(A77="","",Inputs!$C$6*D77)</f>
        <v/>
      </c>
    </row>
    <row r="78">
      <c r="A78" s="18" t="str">
        <f>'Cashflow Schedule'!B78</f>
        <v/>
      </c>
      <c r="B78" s="18" t="str">
        <f>'Cashflow Schedule'!E78</f>
        <v/>
      </c>
      <c r="C78" s="21" t="str">
        <f>IF(A78="","",EXP(-Inputs!$C$7*A78))</f>
        <v/>
      </c>
      <c r="D78" s="22" t="str">
        <f t="shared" si="1"/>
        <v/>
      </c>
      <c r="E78" s="22" t="str">
        <f>IF(A78="","",Inputs!$C$6*D78)</f>
        <v/>
      </c>
    </row>
    <row r="79">
      <c r="A79" s="18" t="str">
        <f>'Cashflow Schedule'!B79</f>
        <v/>
      </c>
      <c r="B79" s="18" t="str">
        <f>'Cashflow Schedule'!E79</f>
        <v/>
      </c>
      <c r="C79" s="21" t="str">
        <f>IF(A79="","",EXP(-Inputs!$C$7*A79))</f>
        <v/>
      </c>
      <c r="D79" s="22" t="str">
        <f t="shared" si="1"/>
        <v/>
      </c>
      <c r="E79" s="22" t="str">
        <f>IF(A79="","",Inputs!$C$6*D79)</f>
        <v/>
      </c>
    </row>
    <row r="80">
      <c r="A80" s="18" t="str">
        <f>'Cashflow Schedule'!B80</f>
        <v/>
      </c>
      <c r="B80" s="18" t="str">
        <f>'Cashflow Schedule'!E80</f>
        <v/>
      </c>
      <c r="C80" s="21" t="str">
        <f>IF(A80="","",EXP(-Inputs!$C$7*A80))</f>
        <v/>
      </c>
      <c r="D80" s="22" t="str">
        <f t="shared" si="1"/>
        <v/>
      </c>
      <c r="E80" s="22" t="str">
        <f>IF(A80="","",Inputs!$C$6*D80)</f>
        <v/>
      </c>
    </row>
    <row r="81">
      <c r="A81" s="18" t="str">
        <f>'Cashflow Schedule'!B81</f>
        <v/>
      </c>
      <c r="B81" s="18" t="str">
        <f>'Cashflow Schedule'!E81</f>
        <v/>
      </c>
      <c r="C81" s="21" t="str">
        <f>IF(A81="","",EXP(-Inputs!$C$7*A81))</f>
        <v/>
      </c>
      <c r="D81" s="22" t="str">
        <f t="shared" si="1"/>
        <v/>
      </c>
      <c r="E81" s="22" t="str">
        <f>IF(A81="","",Inputs!$C$6*D81)</f>
        <v/>
      </c>
    </row>
    <row r="82">
      <c r="A82" s="18" t="str">
        <f>'Cashflow Schedule'!B82</f>
        <v/>
      </c>
      <c r="B82" s="18" t="str">
        <f>'Cashflow Schedule'!E82</f>
        <v/>
      </c>
      <c r="C82" s="21" t="str">
        <f>IF(A82="","",EXP(-Inputs!$C$7*A82))</f>
        <v/>
      </c>
      <c r="D82" s="22" t="str">
        <f t="shared" si="1"/>
        <v/>
      </c>
      <c r="E82" s="22" t="str">
        <f>IF(A82="","",Inputs!$C$6*D82)</f>
        <v/>
      </c>
    </row>
    <row r="83">
      <c r="A83" s="18" t="str">
        <f>'Cashflow Schedule'!B83</f>
        <v/>
      </c>
      <c r="B83" s="18" t="str">
        <f>'Cashflow Schedule'!E83</f>
        <v/>
      </c>
      <c r="C83" s="21" t="str">
        <f>IF(A83="","",EXP(-Inputs!$C$7*A83))</f>
        <v/>
      </c>
      <c r="D83" s="22" t="str">
        <f t="shared" si="1"/>
        <v/>
      </c>
      <c r="E83" s="22" t="str">
        <f>IF(A83="","",Inputs!$C$6*D83)</f>
        <v/>
      </c>
    </row>
    <row r="84">
      <c r="A84" s="18" t="str">
        <f>'Cashflow Schedule'!B84</f>
        <v/>
      </c>
      <c r="B84" s="18" t="str">
        <f>'Cashflow Schedule'!E84</f>
        <v/>
      </c>
      <c r="C84" s="21" t="str">
        <f>IF(A84="","",EXP(-Inputs!$C$7*A84))</f>
        <v/>
      </c>
      <c r="D84" s="22" t="str">
        <f t="shared" si="1"/>
        <v/>
      </c>
      <c r="E84" s="22" t="str">
        <f>IF(A84="","",Inputs!$C$6*D84)</f>
        <v/>
      </c>
    </row>
    <row r="85">
      <c r="A85" s="18" t="str">
        <f>'Cashflow Schedule'!B85</f>
        <v/>
      </c>
      <c r="B85" s="18" t="str">
        <f>'Cashflow Schedule'!E85</f>
        <v/>
      </c>
      <c r="C85" s="21" t="str">
        <f>IF(A85="","",EXP(-Inputs!$C$7*A85))</f>
        <v/>
      </c>
      <c r="D85" s="22" t="str">
        <f t="shared" si="1"/>
        <v/>
      </c>
      <c r="E85" s="22" t="str">
        <f>IF(A85="","",Inputs!$C$6*D85)</f>
        <v/>
      </c>
    </row>
    <row r="86">
      <c r="A86" s="18" t="str">
        <f>'Cashflow Schedule'!B86</f>
        <v/>
      </c>
      <c r="B86" s="18" t="str">
        <f>'Cashflow Schedule'!E86</f>
        <v/>
      </c>
      <c r="C86" s="21" t="str">
        <f>IF(A86="","",EXP(-Inputs!$C$7*A86))</f>
        <v/>
      </c>
      <c r="D86" s="22" t="str">
        <f t="shared" si="1"/>
        <v/>
      </c>
      <c r="E86" s="22" t="str">
        <f>IF(A86="","",Inputs!$C$6*D86)</f>
        <v/>
      </c>
    </row>
    <row r="87">
      <c r="A87" s="18" t="str">
        <f>'Cashflow Schedule'!B87</f>
        <v/>
      </c>
      <c r="B87" s="18" t="str">
        <f>'Cashflow Schedule'!E87</f>
        <v/>
      </c>
      <c r="C87" s="21" t="str">
        <f>IF(A87="","",EXP(-Inputs!$C$7*A87))</f>
        <v/>
      </c>
      <c r="D87" s="22" t="str">
        <f t="shared" si="1"/>
        <v/>
      </c>
      <c r="E87" s="22" t="str">
        <f>IF(A87="","",Inputs!$C$6*D87)</f>
        <v/>
      </c>
    </row>
    <row r="88">
      <c r="A88" s="18" t="str">
        <f>'Cashflow Schedule'!B88</f>
        <v/>
      </c>
      <c r="B88" s="18" t="str">
        <f>'Cashflow Schedule'!E88</f>
        <v/>
      </c>
      <c r="C88" s="21" t="str">
        <f>IF(A88="","",EXP(-Inputs!$C$7*A88))</f>
        <v/>
      </c>
      <c r="D88" s="22" t="str">
        <f t="shared" si="1"/>
        <v/>
      </c>
      <c r="E88" s="22" t="str">
        <f>IF(A88="","",Inputs!$C$6*D88)</f>
        <v/>
      </c>
    </row>
    <row r="89">
      <c r="A89" s="18" t="str">
        <f>'Cashflow Schedule'!B89</f>
        <v/>
      </c>
      <c r="B89" s="18" t="str">
        <f>'Cashflow Schedule'!E89</f>
        <v/>
      </c>
      <c r="C89" s="21" t="str">
        <f>IF(A89="","",EXP(-Inputs!$C$7*A89))</f>
        <v/>
      </c>
      <c r="D89" s="22" t="str">
        <f t="shared" si="1"/>
        <v/>
      </c>
      <c r="E89" s="22" t="str">
        <f>IF(A89="","",Inputs!$C$6*D89)</f>
        <v/>
      </c>
    </row>
    <row r="90">
      <c r="A90" s="18" t="str">
        <f>'Cashflow Schedule'!B90</f>
        <v/>
      </c>
      <c r="B90" s="18" t="str">
        <f>'Cashflow Schedule'!E90</f>
        <v/>
      </c>
      <c r="C90" s="21" t="str">
        <f>IF(A90="","",EXP(-Inputs!$C$7*A90))</f>
        <v/>
      </c>
      <c r="D90" s="22" t="str">
        <f t="shared" si="1"/>
        <v/>
      </c>
      <c r="E90" s="22" t="str">
        <f>IF(A90="","",Inputs!$C$6*D90)</f>
        <v/>
      </c>
    </row>
    <row r="91">
      <c r="A91" s="18" t="str">
        <f>'Cashflow Schedule'!B91</f>
        <v/>
      </c>
      <c r="B91" s="18" t="str">
        <f>'Cashflow Schedule'!E91</f>
        <v/>
      </c>
      <c r="C91" s="21" t="str">
        <f>IF(A91="","",EXP(-Inputs!$C$7*A91))</f>
        <v/>
      </c>
      <c r="D91" s="22" t="str">
        <f t="shared" si="1"/>
        <v/>
      </c>
      <c r="E91" s="22" t="str">
        <f>IF(A91="","",Inputs!$C$6*D91)</f>
        <v/>
      </c>
    </row>
    <row r="92">
      <c r="A92" s="18" t="str">
        <f>'Cashflow Schedule'!B92</f>
        <v/>
      </c>
      <c r="B92" s="18" t="str">
        <f>'Cashflow Schedule'!E92</f>
        <v/>
      </c>
      <c r="C92" s="21" t="str">
        <f>IF(A92="","",EXP(-Inputs!$C$7*A92))</f>
        <v/>
      </c>
      <c r="D92" s="22" t="str">
        <f t="shared" si="1"/>
        <v/>
      </c>
      <c r="E92" s="22" t="str">
        <f>IF(A92="","",Inputs!$C$6*D92)</f>
        <v/>
      </c>
    </row>
    <row r="93">
      <c r="A93" s="18" t="str">
        <f>'Cashflow Schedule'!B93</f>
        <v/>
      </c>
      <c r="B93" s="18" t="str">
        <f>'Cashflow Schedule'!E93</f>
        <v/>
      </c>
      <c r="C93" s="21" t="str">
        <f>IF(A93="","",EXP(-Inputs!$C$7*A93))</f>
        <v/>
      </c>
      <c r="D93" s="22" t="str">
        <f t="shared" si="1"/>
        <v/>
      </c>
      <c r="E93" s="22" t="str">
        <f>IF(A93="","",Inputs!$C$6*D93)</f>
        <v/>
      </c>
    </row>
    <row r="94">
      <c r="A94" s="18" t="str">
        <f>'Cashflow Schedule'!B94</f>
        <v/>
      </c>
      <c r="B94" s="18" t="str">
        <f>'Cashflow Schedule'!E94</f>
        <v/>
      </c>
      <c r="C94" s="21" t="str">
        <f>IF(A94="","",EXP(-Inputs!$C$7*A94))</f>
        <v/>
      </c>
      <c r="D94" s="22" t="str">
        <f t="shared" si="1"/>
        <v/>
      </c>
      <c r="E94" s="22" t="str">
        <f>IF(A94="","",Inputs!$C$6*D94)</f>
        <v/>
      </c>
    </row>
    <row r="95">
      <c r="A95" s="18" t="str">
        <f>'Cashflow Schedule'!B95</f>
        <v/>
      </c>
      <c r="B95" s="18" t="str">
        <f>'Cashflow Schedule'!E95</f>
        <v/>
      </c>
      <c r="C95" s="21" t="str">
        <f>IF(A95="","",EXP(-Inputs!$C$7*A95))</f>
        <v/>
      </c>
      <c r="D95" s="22" t="str">
        <f t="shared" si="1"/>
        <v/>
      </c>
      <c r="E95" s="22" t="str">
        <f>IF(A95="","",Inputs!$C$6*D95)</f>
        <v/>
      </c>
    </row>
    <row r="96">
      <c r="A96" s="18" t="str">
        <f>'Cashflow Schedule'!B96</f>
        <v/>
      </c>
      <c r="B96" s="18" t="str">
        <f>'Cashflow Schedule'!E96</f>
        <v/>
      </c>
      <c r="C96" s="21" t="str">
        <f>IF(A96="","",EXP(-Inputs!$C$7*A96))</f>
        <v/>
      </c>
      <c r="D96" s="22" t="str">
        <f t="shared" si="1"/>
        <v/>
      </c>
      <c r="E96" s="22" t="str">
        <f>IF(A96="","",Inputs!$C$6*D96)</f>
        <v/>
      </c>
    </row>
    <row r="97">
      <c r="A97" s="18" t="str">
        <f>'Cashflow Schedule'!B97</f>
        <v/>
      </c>
      <c r="B97" s="18" t="str">
        <f>'Cashflow Schedule'!E97</f>
        <v/>
      </c>
      <c r="C97" s="21" t="str">
        <f>IF(A97="","",EXP(-Inputs!$C$7*A97))</f>
        <v/>
      </c>
      <c r="D97" s="22" t="str">
        <f t="shared" si="1"/>
        <v/>
      </c>
      <c r="E97" s="22" t="str">
        <f>IF(A97="","",Inputs!$C$6*D97)</f>
        <v/>
      </c>
    </row>
    <row r="98">
      <c r="A98" s="18" t="str">
        <f>'Cashflow Schedule'!B98</f>
        <v/>
      </c>
      <c r="B98" s="18" t="str">
        <f>'Cashflow Schedule'!E98</f>
        <v/>
      </c>
      <c r="C98" s="21" t="str">
        <f>IF(A98="","",EXP(-Inputs!$C$7*A98))</f>
        <v/>
      </c>
      <c r="D98" s="22" t="str">
        <f t="shared" si="1"/>
        <v/>
      </c>
      <c r="E98" s="22" t="str">
        <f>IF(A98="","",Inputs!$C$6*D98)</f>
        <v/>
      </c>
    </row>
    <row r="99">
      <c r="A99" s="18" t="str">
        <f>'Cashflow Schedule'!B99</f>
        <v/>
      </c>
      <c r="B99" s="18" t="str">
        <f>'Cashflow Schedule'!E99</f>
        <v/>
      </c>
      <c r="C99" s="21" t="str">
        <f>IF(A99="","",EXP(-Inputs!$C$7*A99))</f>
        <v/>
      </c>
      <c r="D99" s="22" t="str">
        <f t="shared" si="1"/>
        <v/>
      </c>
      <c r="E99" s="22" t="str">
        <f>IF(A99="","",Inputs!$C$6*D99)</f>
        <v/>
      </c>
    </row>
    <row r="100">
      <c r="A100" s="18" t="str">
        <f>'Cashflow Schedule'!B100</f>
        <v/>
      </c>
      <c r="B100" s="18" t="str">
        <f>'Cashflow Schedule'!E100</f>
        <v/>
      </c>
      <c r="C100" s="21" t="str">
        <f>IF(A100="","",EXP(-Inputs!$C$7*A100))</f>
        <v/>
      </c>
      <c r="D100" s="22" t="str">
        <f t="shared" si="1"/>
        <v/>
      </c>
      <c r="E100" s="22" t="str">
        <f>IF(A100="","",Inputs!$C$6*D100)</f>
        <v/>
      </c>
    </row>
    <row r="101">
      <c r="A101" s="18" t="str">
        <f>'Cashflow Schedule'!B101</f>
        <v/>
      </c>
      <c r="B101" s="18" t="str">
        <f>'Cashflow Schedule'!E101</f>
        <v/>
      </c>
      <c r="C101" s="21" t="str">
        <f>IF(A101="","",EXP(-Inputs!$C$7*A101))</f>
        <v/>
      </c>
      <c r="D101" s="22" t="str">
        <f t="shared" si="1"/>
        <v/>
      </c>
      <c r="E101" s="22" t="str">
        <f>IF(A101="","",Inputs!$C$6*D101)</f>
        <v/>
      </c>
    </row>
    <row r="102">
      <c r="A102" s="18" t="str">
        <f>'Cashflow Schedule'!B102</f>
        <v/>
      </c>
      <c r="B102" s="18" t="str">
        <f>'Cashflow Schedule'!E102</f>
        <v/>
      </c>
      <c r="C102" s="21" t="str">
        <f>IF(A102="","",EXP(-Inputs!$C$7*A102))</f>
        <v/>
      </c>
      <c r="D102" s="22" t="str">
        <f t="shared" si="1"/>
        <v/>
      </c>
      <c r="E102" s="22" t="str">
        <f>IF(A102="","",Inputs!$C$6*D102)</f>
        <v/>
      </c>
    </row>
    <row r="103">
      <c r="A103" s="18" t="str">
        <f>'Cashflow Schedule'!B103</f>
        <v/>
      </c>
      <c r="B103" s="18" t="str">
        <f>'Cashflow Schedule'!E103</f>
        <v/>
      </c>
      <c r="C103" s="21" t="str">
        <f>IF(A103="","",EXP(-Inputs!$C$7*A103))</f>
        <v/>
      </c>
      <c r="D103" s="22" t="str">
        <f t="shared" si="1"/>
        <v/>
      </c>
      <c r="E103" s="22" t="str">
        <f>IF(A103="","",Inputs!$C$6*D103)</f>
        <v/>
      </c>
    </row>
    <row r="104">
      <c r="A104" s="18" t="str">
        <f>'Cashflow Schedule'!B104</f>
        <v/>
      </c>
      <c r="B104" s="18" t="str">
        <f>'Cashflow Schedule'!E104</f>
        <v/>
      </c>
      <c r="C104" s="21" t="str">
        <f>IF(A104="","",EXP(-Inputs!$C$7*A104))</f>
        <v/>
      </c>
      <c r="D104" s="22" t="str">
        <f t="shared" si="1"/>
        <v/>
      </c>
      <c r="E104" s="22" t="str">
        <f>IF(A104="","",Inputs!$C$6*D104)</f>
        <v/>
      </c>
    </row>
    <row r="105">
      <c r="A105" s="18" t="str">
        <f>'Cashflow Schedule'!B105</f>
        <v/>
      </c>
      <c r="B105" s="18" t="str">
        <f>'Cashflow Schedule'!E105</f>
        <v/>
      </c>
      <c r="C105" s="21" t="str">
        <f>IF(A105="","",EXP(-Inputs!$C$7*A105))</f>
        <v/>
      </c>
      <c r="D105" s="22" t="str">
        <f t="shared" si="1"/>
        <v/>
      </c>
      <c r="E105" s="22" t="str">
        <f>IF(A105="","",Inputs!$C$6*D105)</f>
        <v/>
      </c>
    </row>
    <row r="106">
      <c r="A106" s="18" t="str">
        <f>'Cashflow Schedule'!B106</f>
        <v/>
      </c>
      <c r="B106" s="18" t="str">
        <f>'Cashflow Schedule'!E106</f>
        <v/>
      </c>
      <c r="C106" s="21" t="str">
        <f>IF(A106="","",EXP(-Inputs!$C$7*A106))</f>
        <v/>
      </c>
      <c r="D106" s="22" t="str">
        <f t="shared" si="1"/>
        <v/>
      </c>
      <c r="E106" s="22" t="str">
        <f>IF(A106="","",Inputs!$C$6*D106)</f>
        <v/>
      </c>
    </row>
    <row r="107">
      <c r="A107" s="18" t="str">
        <f>'Cashflow Schedule'!B107</f>
        <v/>
      </c>
      <c r="B107" s="18" t="str">
        <f>'Cashflow Schedule'!E107</f>
        <v/>
      </c>
      <c r="C107" s="21" t="str">
        <f>IF(A107="","",EXP(-Inputs!$C$7*A107))</f>
        <v/>
      </c>
      <c r="D107" s="22" t="str">
        <f t="shared" si="1"/>
        <v/>
      </c>
      <c r="E107" s="22" t="str">
        <f>IF(A107="","",Inputs!$C$6*D107)</f>
        <v/>
      </c>
    </row>
    <row r="108">
      <c r="A108" s="18" t="str">
        <f>'Cashflow Schedule'!B108</f>
        <v/>
      </c>
      <c r="B108" s="18" t="str">
        <f>'Cashflow Schedule'!E108</f>
        <v/>
      </c>
      <c r="C108" s="21" t="str">
        <f>IF(A108="","",EXP(-Inputs!$C$7*A108))</f>
        <v/>
      </c>
      <c r="D108" s="22" t="str">
        <f t="shared" si="1"/>
        <v/>
      </c>
      <c r="E108" s="22" t="str">
        <f>IF(A108="","",Inputs!$C$6*D108)</f>
        <v/>
      </c>
    </row>
    <row r="109">
      <c r="A109" s="18" t="str">
        <f>'Cashflow Schedule'!B109</f>
        <v/>
      </c>
      <c r="B109" s="18" t="str">
        <f>'Cashflow Schedule'!E109</f>
        <v/>
      </c>
      <c r="C109" s="21" t="str">
        <f>IF(A109="","",EXP(-Inputs!$C$7*A109))</f>
        <v/>
      </c>
      <c r="D109" s="22" t="str">
        <f t="shared" si="1"/>
        <v/>
      </c>
      <c r="E109" s="22" t="str">
        <f>IF(A109="","",Inputs!$C$6*D109)</f>
        <v/>
      </c>
    </row>
    <row r="110">
      <c r="A110" s="18" t="str">
        <f>'Cashflow Schedule'!B110</f>
        <v/>
      </c>
      <c r="B110" s="18" t="str">
        <f>'Cashflow Schedule'!E110</f>
        <v/>
      </c>
      <c r="C110" s="21" t="str">
        <f>IF(A110="","",EXP(-Inputs!$C$7*A110))</f>
        <v/>
      </c>
      <c r="D110" s="22" t="str">
        <f t="shared" si="1"/>
        <v/>
      </c>
      <c r="E110" s="22" t="str">
        <f>IF(A110="","",Inputs!$C$6*D110)</f>
        <v/>
      </c>
    </row>
    <row r="111">
      <c r="A111" s="18" t="str">
        <f>'Cashflow Schedule'!B111</f>
        <v/>
      </c>
      <c r="B111" s="18" t="str">
        <f>'Cashflow Schedule'!E111</f>
        <v/>
      </c>
      <c r="C111" s="21" t="str">
        <f>IF(A111="","",EXP(-Inputs!$C$7*A111))</f>
        <v/>
      </c>
      <c r="D111" s="22" t="str">
        <f t="shared" si="1"/>
        <v/>
      </c>
      <c r="E111" s="22" t="str">
        <f>IF(A111="","",Inputs!$C$6*D111)</f>
        <v/>
      </c>
    </row>
    <row r="112">
      <c r="A112" s="18" t="str">
        <f>'Cashflow Schedule'!B112</f>
        <v/>
      </c>
      <c r="B112" s="18" t="str">
        <f>'Cashflow Schedule'!E112</f>
        <v/>
      </c>
      <c r="C112" s="21" t="str">
        <f>IF(A112="","",EXP(-Inputs!$C$7*A112))</f>
        <v/>
      </c>
      <c r="D112" s="22" t="str">
        <f t="shared" si="1"/>
        <v/>
      </c>
      <c r="E112" s="22" t="str">
        <f>IF(A112="","",Inputs!$C$6*D112)</f>
        <v/>
      </c>
    </row>
    <row r="113">
      <c r="A113" s="18" t="str">
        <f>'Cashflow Schedule'!B113</f>
        <v/>
      </c>
      <c r="B113" s="18" t="str">
        <f>'Cashflow Schedule'!E113</f>
        <v/>
      </c>
      <c r="C113" s="21" t="str">
        <f>IF(A113="","",EXP(-Inputs!$C$7*A113))</f>
        <v/>
      </c>
      <c r="D113" s="22" t="str">
        <f t="shared" si="1"/>
        <v/>
      </c>
      <c r="E113" s="22" t="str">
        <f>IF(A113="","",Inputs!$C$6*D113)</f>
        <v/>
      </c>
    </row>
    <row r="114">
      <c r="A114" s="18" t="str">
        <f>'Cashflow Schedule'!B114</f>
        <v/>
      </c>
      <c r="B114" s="18" t="str">
        <f>'Cashflow Schedule'!E114</f>
        <v/>
      </c>
      <c r="C114" s="21" t="str">
        <f>IF(A114="","",EXP(-Inputs!$C$7*A114))</f>
        <v/>
      </c>
      <c r="D114" s="22" t="str">
        <f t="shared" si="1"/>
        <v/>
      </c>
      <c r="E114" s="22" t="str">
        <f>IF(A114="","",Inputs!$C$6*D114)</f>
        <v/>
      </c>
    </row>
    <row r="115">
      <c r="A115" s="18" t="str">
        <f>'Cashflow Schedule'!B115</f>
        <v/>
      </c>
      <c r="B115" s="18" t="str">
        <f>'Cashflow Schedule'!E115</f>
        <v/>
      </c>
      <c r="C115" s="21" t="str">
        <f>IF(A115="","",EXP(-Inputs!$C$7*A115))</f>
        <v/>
      </c>
      <c r="D115" s="22" t="str">
        <f t="shared" si="1"/>
        <v/>
      </c>
      <c r="E115" s="22" t="str">
        <f>IF(A115="","",Inputs!$C$6*D115)</f>
        <v/>
      </c>
    </row>
    <row r="116">
      <c r="A116" s="18" t="str">
        <f>'Cashflow Schedule'!B116</f>
        <v/>
      </c>
      <c r="B116" s="18" t="str">
        <f>'Cashflow Schedule'!E116</f>
        <v/>
      </c>
      <c r="C116" s="21" t="str">
        <f>IF(A116="","",EXP(-Inputs!$C$7*A116))</f>
        <v/>
      </c>
      <c r="D116" s="22" t="str">
        <f t="shared" si="1"/>
        <v/>
      </c>
      <c r="E116" s="22" t="str">
        <f>IF(A116="","",Inputs!$C$6*D116)</f>
        <v/>
      </c>
    </row>
    <row r="117">
      <c r="A117" s="18" t="str">
        <f>'Cashflow Schedule'!B117</f>
        <v/>
      </c>
      <c r="B117" s="18" t="str">
        <f>'Cashflow Schedule'!E117</f>
        <v/>
      </c>
      <c r="C117" s="21" t="str">
        <f>IF(A117="","",EXP(-Inputs!$C$7*A117))</f>
        <v/>
      </c>
      <c r="D117" s="22" t="str">
        <f t="shared" si="1"/>
        <v/>
      </c>
      <c r="E117" s="22" t="str">
        <f>IF(A117="","",Inputs!$C$6*D117)</f>
        <v/>
      </c>
    </row>
    <row r="118">
      <c r="A118" s="18" t="str">
        <f>'Cashflow Schedule'!B118</f>
        <v/>
      </c>
      <c r="B118" s="18" t="str">
        <f>'Cashflow Schedule'!E118</f>
        <v/>
      </c>
      <c r="C118" s="21" t="str">
        <f>IF(A118="","",EXP(-Inputs!$C$7*A118))</f>
        <v/>
      </c>
      <c r="D118" s="22" t="str">
        <f t="shared" si="1"/>
        <v/>
      </c>
      <c r="E118" s="22" t="str">
        <f>IF(A118="","",Inputs!$C$6*D118)</f>
        <v/>
      </c>
    </row>
    <row r="119">
      <c r="A119" s="18" t="str">
        <f>'Cashflow Schedule'!B119</f>
        <v/>
      </c>
      <c r="B119" s="18" t="str">
        <f>'Cashflow Schedule'!E119</f>
        <v/>
      </c>
      <c r="C119" s="21" t="str">
        <f>IF(A119="","",EXP(-Inputs!$C$7*A119))</f>
        <v/>
      </c>
      <c r="D119" s="22" t="str">
        <f t="shared" si="1"/>
        <v/>
      </c>
      <c r="E119" s="22" t="str">
        <f>IF(A119="","",Inputs!$C$6*D119)</f>
        <v/>
      </c>
    </row>
    <row r="120">
      <c r="A120" s="18" t="str">
        <f>'Cashflow Schedule'!B120</f>
        <v/>
      </c>
      <c r="B120" s="18" t="str">
        <f>'Cashflow Schedule'!E120</f>
        <v/>
      </c>
      <c r="C120" s="21" t="str">
        <f>IF(A120="","",EXP(-Inputs!$C$7*A120))</f>
        <v/>
      </c>
      <c r="D120" s="22" t="str">
        <f t="shared" si="1"/>
        <v/>
      </c>
      <c r="E120" s="22" t="str">
        <f>IF(A120="","",Inputs!$C$6*D120)</f>
        <v/>
      </c>
    </row>
    <row r="121">
      <c r="A121" s="18" t="str">
        <f>'Cashflow Schedule'!B121</f>
        <v/>
      </c>
      <c r="B121" s="18" t="str">
        <f>'Cashflow Schedule'!E121</f>
        <v/>
      </c>
      <c r="C121" s="21" t="str">
        <f>IF(A121="","",EXP(-Inputs!$C$7*A121))</f>
        <v/>
      </c>
      <c r="D121" s="22" t="str">
        <f t="shared" si="1"/>
        <v/>
      </c>
      <c r="E121" s="22" t="str">
        <f>IF(A121="","",Inputs!$C$6*D121)</f>
        <v/>
      </c>
    </row>
    <row r="122">
      <c r="A122" s="18" t="str">
        <f>'Cashflow Schedule'!B122</f>
        <v/>
      </c>
      <c r="B122" s="18" t="str">
        <f>'Cashflow Schedule'!E122</f>
        <v/>
      </c>
      <c r="C122" s="21" t="str">
        <f>IF(A122="","",EXP(-Inputs!$C$7*A122))</f>
        <v/>
      </c>
      <c r="D122" s="22" t="str">
        <f t="shared" si="1"/>
        <v/>
      </c>
      <c r="E122" s="22" t="str">
        <f>IF(A122="","",Inputs!$C$6*D122)</f>
        <v/>
      </c>
    </row>
    <row r="123">
      <c r="A123" s="18" t="str">
        <f>'Cashflow Schedule'!B123</f>
        <v/>
      </c>
      <c r="B123" s="18" t="str">
        <f>'Cashflow Schedule'!E123</f>
        <v/>
      </c>
      <c r="C123" s="21" t="str">
        <f>IF(A123="","",EXP(-Inputs!$C$7*A123))</f>
        <v/>
      </c>
      <c r="D123" s="22" t="str">
        <f t="shared" si="1"/>
        <v/>
      </c>
      <c r="E123" s="22" t="str">
        <f>IF(A123="","",Inputs!$C$6*D123)</f>
        <v/>
      </c>
    </row>
    <row r="124">
      <c r="A124" s="18" t="str">
        <f>'Cashflow Schedule'!B124</f>
        <v/>
      </c>
      <c r="B124" s="18" t="str">
        <f>'Cashflow Schedule'!E124</f>
        <v/>
      </c>
      <c r="C124" s="21" t="str">
        <f>IF(A124="","",EXP(-Inputs!$C$7*A124))</f>
        <v/>
      </c>
      <c r="D124" s="22" t="str">
        <f t="shared" si="1"/>
        <v/>
      </c>
      <c r="E124" s="22" t="str">
        <f>IF(A124="","",Inputs!$C$6*D124)</f>
        <v/>
      </c>
    </row>
    <row r="125">
      <c r="A125" s="18" t="str">
        <f>'Cashflow Schedule'!B125</f>
        <v/>
      </c>
      <c r="B125" s="18" t="str">
        <f>'Cashflow Schedule'!E125</f>
        <v/>
      </c>
      <c r="C125" s="21" t="str">
        <f>IF(A125="","",EXP(-Inputs!$C$7*A125))</f>
        <v/>
      </c>
      <c r="D125" s="22" t="str">
        <f t="shared" si="1"/>
        <v/>
      </c>
      <c r="E125" s="22" t="str">
        <f>IF(A125="","",Inputs!$C$6*D125)</f>
        <v/>
      </c>
    </row>
    <row r="126">
      <c r="A126" s="18" t="str">
        <f>'Cashflow Schedule'!B126</f>
        <v/>
      </c>
      <c r="B126" s="18" t="str">
        <f>'Cashflow Schedule'!E126</f>
        <v/>
      </c>
      <c r="C126" s="21" t="str">
        <f>IF(A126="","",EXP(-Inputs!$C$7*A126))</f>
        <v/>
      </c>
      <c r="D126" s="22" t="str">
        <f t="shared" si="1"/>
        <v/>
      </c>
      <c r="E126" s="22" t="str">
        <f>IF(A126="","",Inputs!$C$6*D126)</f>
        <v/>
      </c>
    </row>
    <row r="127">
      <c r="A127" s="18" t="str">
        <f>'Cashflow Schedule'!B127</f>
        <v/>
      </c>
      <c r="B127" s="18" t="str">
        <f>'Cashflow Schedule'!E127</f>
        <v/>
      </c>
      <c r="C127" s="21" t="str">
        <f>IF(A127="","",EXP(-Inputs!$C$7*A127))</f>
        <v/>
      </c>
      <c r="D127" s="22" t="str">
        <f t="shared" si="1"/>
        <v/>
      </c>
      <c r="E127" s="22" t="str">
        <f>IF(A127="","",Inputs!$C$6*D127)</f>
        <v/>
      </c>
    </row>
    <row r="128">
      <c r="A128" s="18" t="str">
        <f>'Cashflow Schedule'!B128</f>
        <v/>
      </c>
      <c r="B128" s="18" t="str">
        <f>'Cashflow Schedule'!E128</f>
        <v/>
      </c>
      <c r="C128" s="21" t="str">
        <f>IF(A128="","",EXP(-Inputs!$C$7*A128))</f>
        <v/>
      </c>
      <c r="D128" s="22" t="str">
        <f t="shared" si="1"/>
        <v/>
      </c>
      <c r="E128" s="22" t="str">
        <f>IF(A128="","",Inputs!$C$6*D128)</f>
        <v/>
      </c>
    </row>
    <row r="129">
      <c r="A129" s="18" t="str">
        <f>'Cashflow Schedule'!B129</f>
        <v/>
      </c>
      <c r="B129" s="18" t="str">
        <f>'Cashflow Schedule'!E129</f>
        <v/>
      </c>
      <c r="C129" s="21" t="str">
        <f>IF(A129="","",EXP(-Inputs!$C$7*A129))</f>
        <v/>
      </c>
      <c r="D129" s="22" t="str">
        <f t="shared" si="1"/>
        <v/>
      </c>
      <c r="E129" s="22" t="str">
        <f>IF(A129="","",Inputs!$C$6*D129)</f>
        <v/>
      </c>
    </row>
    <row r="130">
      <c r="A130" s="18" t="str">
        <f>'Cashflow Schedule'!B130</f>
        <v/>
      </c>
      <c r="B130" s="18" t="str">
        <f>'Cashflow Schedule'!E130</f>
        <v/>
      </c>
      <c r="C130" s="21" t="str">
        <f>IF(A130="","",EXP(-Inputs!$C$7*A130))</f>
        <v/>
      </c>
      <c r="D130" s="22" t="str">
        <f t="shared" si="1"/>
        <v/>
      </c>
      <c r="E130" s="22" t="str">
        <f>IF(A130="","",Inputs!$C$6*D130)</f>
        <v/>
      </c>
    </row>
    <row r="131">
      <c r="A131" s="18" t="str">
        <f>'Cashflow Schedule'!B131</f>
        <v/>
      </c>
      <c r="B131" s="18" t="str">
        <f>'Cashflow Schedule'!E131</f>
        <v/>
      </c>
      <c r="C131" s="21" t="str">
        <f>IF(A131="","",EXP(-Inputs!$C$7*A131))</f>
        <v/>
      </c>
      <c r="D131" s="22" t="str">
        <f t="shared" si="1"/>
        <v/>
      </c>
      <c r="E131" s="22" t="str">
        <f>IF(A131="","",Inputs!$C$6*D131)</f>
        <v/>
      </c>
    </row>
    <row r="132">
      <c r="A132" s="18" t="str">
        <f>'Cashflow Schedule'!B132</f>
        <v/>
      </c>
      <c r="B132" s="18" t="str">
        <f>'Cashflow Schedule'!E132</f>
        <v/>
      </c>
      <c r="C132" s="21" t="str">
        <f>IF(A132="","",EXP(-Inputs!$C$7*A132))</f>
        <v/>
      </c>
      <c r="D132" s="22" t="str">
        <f t="shared" si="1"/>
        <v/>
      </c>
      <c r="E132" s="22" t="str">
        <f>IF(A132="","",Inputs!$C$6*D132)</f>
        <v/>
      </c>
    </row>
    <row r="133">
      <c r="A133" s="18" t="str">
        <f>'Cashflow Schedule'!B133</f>
        <v/>
      </c>
      <c r="B133" s="18" t="str">
        <f>'Cashflow Schedule'!E133</f>
        <v/>
      </c>
      <c r="C133" s="21" t="str">
        <f>IF(A133="","",EXP(-Inputs!$C$7*A133))</f>
        <v/>
      </c>
      <c r="D133" s="22" t="str">
        <f t="shared" si="1"/>
        <v/>
      </c>
      <c r="E133" s="22" t="str">
        <f>IF(A133="","",Inputs!$C$6*D133)</f>
        <v/>
      </c>
    </row>
    <row r="134">
      <c r="A134" s="18" t="str">
        <f>'Cashflow Schedule'!B134</f>
        <v/>
      </c>
      <c r="B134" s="18" t="str">
        <f>'Cashflow Schedule'!E134</f>
        <v/>
      </c>
      <c r="C134" s="21" t="str">
        <f>IF(A134="","",EXP(-Inputs!$C$7*A134))</f>
        <v/>
      </c>
      <c r="D134" s="22" t="str">
        <f t="shared" si="1"/>
        <v/>
      </c>
      <c r="E134" s="22" t="str">
        <f>IF(A134="","",Inputs!$C$6*D134)</f>
        <v/>
      </c>
    </row>
    <row r="135">
      <c r="A135" s="18" t="str">
        <f>'Cashflow Schedule'!B135</f>
        <v/>
      </c>
      <c r="B135" s="18" t="str">
        <f>'Cashflow Schedule'!E135</f>
        <v/>
      </c>
      <c r="C135" s="21" t="str">
        <f>IF(A135="","",EXP(-Inputs!$C$7*A135))</f>
        <v/>
      </c>
      <c r="D135" s="22" t="str">
        <f t="shared" si="1"/>
        <v/>
      </c>
      <c r="E135" s="22" t="str">
        <f>IF(A135="","",Inputs!$C$6*D135)</f>
        <v/>
      </c>
    </row>
    <row r="136">
      <c r="A136" s="18" t="str">
        <f>'Cashflow Schedule'!B136</f>
        <v/>
      </c>
      <c r="B136" s="18" t="str">
        <f>'Cashflow Schedule'!E136</f>
        <v/>
      </c>
      <c r="C136" s="21" t="str">
        <f>IF(A136="","",EXP(-Inputs!$C$7*A136))</f>
        <v/>
      </c>
      <c r="D136" s="22" t="str">
        <f t="shared" si="1"/>
        <v/>
      </c>
      <c r="E136" s="22" t="str">
        <f>IF(A136="","",Inputs!$C$6*D136)</f>
        <v/>
      </c>
    </row>
    <row r="137">
      <c r="A137" s="18" t="str">
        <f>'Cashflow Schedule'!B137</f>
        <v/>
      </c>
      <c r="B137" s="18" t="str">
        <f>'Cashflow Schedule'!E137</f>
        <v/>
      </c>
      <c r="C137" s="21" t="str">
        <f>IF(A137="","",EXP(-Inputs!$C$7*A137))</f>
        <v/>
      </c>
      <c r="D137" s="22" t="str">
        <f t="shared" si="1"/>
        <v/>
      </c>
      <c r="E137" s="22" t="str">
        <f>IF(A137="","",Inputs!$C$6*D137)</f>
        <v/>
      </c>
    </row>
    <row r="138">
      <c r="A138" s="18" t="str">
        <f>'Cashflow Schedule'!B138</f>
        <v/>
      </c>
      <c r="B138" s="18" t="str">
        <f>'Cashflow Schedule'!E138</f>
        <v/>
      </c>
      <c r="C138" s="21" t="str">
        <f>IF(A138="","",EXP(-Inputs!$C$7*A138))</f>
        <v/>
      </c>
      <c r="D138" s="22" t="str">
        <f t="shared" si="1"/>
        <v/>
      </c>
      <c r="E138" s="22" t="str">
        <f>IF(A138="","",Inputs!$C$6*D138)</f>
        <v/>
      </c>
    </row>
    <row r="139">
      <c r="A139" s="18" t="str">
        <f>'Cashflow Schedule'!B139</f>
        <v/>
      </c>
      <c r="B139" s="18" t="str">
        <f>'Cashflow Schedule'!E139</f>
        <v/>
      </c>
      <c r="C139" s="21" t="str">
        <f>IF(A139="","",EXP(-Inputs!$C$7*A139))</f>
        <v/>
      </c>
      <c r="D139" s="22" t="str">
        <f t="shared" si="1"/>
        <v/>
      </c>
      <c r="E139" s="22" t="str">
        <f>IF(A139="","",Inputs!$C$6*D139)</f>
        <v/>
      </c>
    </row>
    <row r="140">
      <c r="A140" s="18" t="str">
        <f>'Cashflow Schedule'!B140</f>
        <v/>
      </c>
      <c r="B140" s="18" t="str">
        <f>'Cashflow Schedule'!E140</f>
        <v/>
      </c>
      <c r="C140" s="21" t="str">
        <f>IF(A140="","",EXP(-Inputs!$C$7*A140))</f>
        <v/>
      </c>
      <c r="D140" s="22" t="str">
        <f t="shared" si="1"/>
        <v/>
      </c>
      <c r="E140" s="22" t="str">
        <f>IF(A140="","",Inputs!$C$6*D140)</f>
        <v/>
      </c>
    </row>
    <row r="141">
      <c r="A141" s="18" t="str">
        <f>'Cashflow Schedule'!B141</f>
        <v/>
      </c>
      <c r="B141" s="18" t="str">
        <f>'Cashflow Schedule'!E141</f>
        <v/>
      </c>
      <c r="C141" s="21" t="str">
        <f>IF(A141="","",EXP(-Inputs!$C$7*A141))</f>
        <v/>
      </c>
      <c r="D141" s="22" t="str">
        <f t="shared" si="1"/>
        <v/>
      </c>
      <c r="E141" s="22" t="str">
        <f>IF(A141="","",Inputs!$C$6*D141)</f>
        <v/>
      </c>
    </row>
    <row r="142">
      <c r="A142" s="18" t="str">
        <f>'Cashflow Schedule'!B142</f>
        <v/>
      </c>
      <c r="B142" s="18" t="str">
        <f>'Cashflow Schedule'!E142</f>
        <v/>
      </c>
      <c r="C142" s="21" t="str">
        <f>IF(A142="","",EXP(-Inputs!$C$7*A142))</f>
        <v/>
      </c>
      <c r="D142" s="22" t="str">
        <f t="shared" si="1"/>
        <v/>
      </c>
      <c r="E142" s="22" t="str">
        <f>IF(A142="","",Inputs!$C$6*D142)</f>
        <v/>
      </c>
    </row>
    <row r="143">
      <c r="A143" s="18" t="str">
        <f>'Cashflow Schedule'!B143</f>
        <v/>
      </c>
      <c r="B143" s="18" t="str">
        <f>'Cashflow Schedule'!E143</f>
        <v/>
      </c>
      <c r="C143" s="21" t="str">
        <f>IF(A143="","",EXP(-Inputs!$C$7*A143))</f>
        <v/>
      </c>
      <c r="D143" s="22" t="str">
        <f t="shared" si="1"/>
        <v/>
      </c>
      <c r="E143" s="22" t="str">
        <f>IF(A143="","",Inputs!$C$6*D143)</f>
        <v/>
      </c>
    </row>
    <row r="144">
      <c r="A144" s="18" t="str">
        <f>'Cashflow Schedule'!B144</f>
        <v/>
      </c>
      <c r="B144" s="18" t="str">
        <f>'Cashflow Schedule'!E144</f>
        <v/>
      </c>
      <c r="C144" s="21" t="str">
        <f>IF(A144="","",EXP(-Inputs!$C$7*A144))</f>
        <v/>
      </c>
      <c r="D144" s="22" t="str">
        <f t="shared" si="1"/>
        <v/>
      </c>
      <c r="E144" s="22" t="str">
        <f>IF(A144="","",Inputs!$C$6*D144)</f>
        <v/>
      </c>
    </row>
    <row r="145">
      <c r="A145" s="18" t="str">
        <f>'Cashflow Schedule'!B145</f>
        <v/>
      </c>
      <c r="B145" s="18" t="str">
        <f>'Cashflow Schedule'!E145</f>
        <v/>
      </c>
      <c r="C145" s="21" t="str">
        <f>IF(A145="","",EXP(-Inputs!$C$7*A145))</f>
        <v/>
      </c>
      <c r="D145" s="22" t="str">
        <f t="shared" si="1"/>
        <v/>
      </c>
      <c r="E145" s="22" t="str">
        <f>IF(A145="","",Inputs!$C$6*D145)</f>
        <v/>
      </c>
    </row>
    <row r="146">
      <c r="A146" s="18" t="str">
        <f>'Cashflow Schedule'!B146</f>
        <v/>
      </c>
      <c r="B146" s="18" t="str">
        <f>'Cashflow Schedule'!E146</f>
        <v/>
      </c>
      <c r="C146" s="21" t="str">
        <f>IF(A146="","",EXP(-Inputs!$C$7*A146))</f>
        <v/>
      </c>
      <c r="D146" s="22" t="str">
        <f t="shared" si="1"/>
        <v/>
      </c>
      <c r="E146" s="22" t="str">
        <f>IF(A146="","",Inputs!$C$6*D146)</f>
        <v/>
      </c>
    </row>
    <row r="147">
      <c r="A147" s="18" t="str">
        <f>'Cashflow Schedule'!B147</f>
        <v/>
      </c>
      <c r="B147" s="18" t="str">
        <f>'Cashflow Schedule'!E147</f>
        <v/>
      </c>
      <c r="C147" s="21" t="str">
        <f>IF(A147="","",EXP(-Inputs!$C$7*A147))</f>
        <v/>
      </c>
      <c r="D147" s="22" t="str">
        <f t="shared" si="1"/>
        <v/>
      </c>
      <c r="E147" s="22" t="str">
        <f>IF(A147="","",Inputs!$C$6*D147)</f>
        <v/>
      </c>
    </row>
    <row r="148">
      <c r="A148" s="18" t="str">
        <f>'Cashflow Schedule'!B148</f>
        <v/>
      </c>
      <c r="B148" s="18" t="str">
        <f>'Cashflow Schedule'!E148</f>
        <v/>
      </c>
      <c r="C148" s="21" t="str">
        <f>IF(A148="","",EXP(-Inputs!$C$7*A148))</f>
        <v/>
      </c>
      <c r="D148" s="22" t="str">
        <f t="shared" si="1"/>
        <v/>
      </c>
      <c r="E148" s="22" t="str">
        <f>IF(A148="","",Inputs!$C$6*D148)</f>
        <v/>
      </c>
    </row>
    <row r="149">
      <c r="A149" s="18" t="str">
        <f>'Cashflow Schedule'!B149</f>
        <v/>
      </c>
      <c r="B149" s="18" t="str">
        <f>'Cashflow Schedule'!E149</f>
        <v/>
      </c>
      <c r="C149" s="21" t="str">
        <f>IF(A149="","",EXP(-Inputs!$C$7*A149))</f>
        <v/>
      </c>
      <c r="D149" s="22" t="str">
        <f t="shared" si="1"/>
        <v/>
      </c>
      <c r="E149" s="22" t="str">
        <f>IF(A149="","",Inputs!$C$6*D149)</f>
        <v/>
      </c>
    </row>
    <row r="150">
      <c r="A150" s="18" t="str">
        <f>'Cashflow Schedule'!B150</f>
        <v/>
      </c>
      <c r="B150" s="18" t="str">
        <f>'Cashflow Schedule'!E150</f>
        <v/>
      </c>
      <c r="C150" s="21" t="str">
        <f>IF(A150="","",EXP(-Inputs!$C$7*A150))</f>
        <v/>
      </c>
      <c r="D150" s="22" t="str">
        <f t="shared" si="1"/>
        <v/>
      </c>
      <c r="E150" s="22" t="str">
        <f>IF(A150="","",Inputs!$C$6*D150)</f>
        <v/>
      </c>
    </row>
    <row r="151">
      <c r="A151" s="18" t="str">
        <f>'Cashflow Schedule'!B151</f>
        <v/>
      </c>
      <c r="B151" s="18" t="str">
        <f>'Cashflow Schedule'!E151</f>
        <v/>
      </c>
      <c r="C151" s="21" t="str">
        <f>IF(A151="","",EXP(-Inputs!$C$7*A151))</f>
        <v/>
      </c>
      <c r="D151" s="22" t="str">
        <f t="shared" si="1"/>
        <v/>
      </c>
      <c r="E151" s="22" t="str">
        <f>IF(A151="","",Inputs!$C$6*D151)</f>
        <v/>
      </c>
    </row>
    <row r="152">
      <c r="A152" s="18" t="str">
        <f>'Cashflow Schedule'!B152</f>
        <v/>
      </c>
      <c r="B152" s="18" t="str">
        <f>'Cashflow Schedule'!E152</f>
        <v/>
      </c>
      <c r="C152" s="21" t="str">
        <f>IF(A152="","",EXP(-Inputs!$C$7*A152))</f>
        <v/>
      </c>
      <c r="D152" s="22" t="str">
        <f t="shared" si="1"/>
        <v/>
      </c>
      <c r="E152" s="22" t="str">
        <f>IF(A152="","",Inputs!$C$6*D152)</f>
        <v/>
      </c>
    </row>
    <row r="153">
      <c r="A153" s="18" t="str">
        <f>'Cashflow Schedule'!B153</f>
        <v/>
      </c>
      <c r="B153" s="18" t="str">
        <f>'Cashflow Schedule'!E153</f>
        <v/>
      </c>
      <c r="C153" s="21" t="str">
        <f>IF(A153="","",EXP(-Inputs!$C$7*A153))</f>
        <v/>
      </c>
      <c r="D153" s="22" t="str">
        <f t="shared" si="1"/>
        <v/>
      </c>
      <c r="E153" s="22" t="str">
        <f>IF(A153="","",Inputs!$C$6*D153)</f>
        <v/>
      </c>
    </row>
    <row r="154">
      <c r="A154" s="18" t="str">
        <f>'Cashflow Schedule'!B154</f>
        <v/>
      </c>
      <c r="B154" s="18" t="str">
        <f>'Cashflow Schedule'!E154</f>
        <v/>
      </c>
      <c r="C154" s="21" t="str">
        <f>IF(A154="","",EXP(-Inputs!$C$7*A154))</f>
        <v/>
      </c>
      <c r="D154" s="22" t="str">
        <f t="shared" si="1"/>
        <v/>
      </c>
      <c r="E154" s="22" t="str">
        <f>IF(A154="","",Inputs!$C$6*D154)</f>
        <v/>
      </c>
    </row>
    <row r="155">
      <c r="A155" s="18" t="str">
        <f>'Cashflow Schedule'!B155</f>
        <v/>
      </c>
      <c r="B155" s="18" t="str">
        <f>'Cashflow Schedule'!E155</f>
        <v/>
      </c>
      <c r="C155" s="21" t="str">
        <f>IF(A155="","",EXP(-Inputs!$C$7*A155))</f>
        <v/>
      </c>
      <c r="D155" s="22" t="str">
        <f t="shared" si="1"/>
        <v/>
      </c>
      <c r="E155" s="22" t="str">
        <f>IF(A155="","",Inputs!$C$6*D155)</f>
        <v/>
      </c>
    </row>
    <row r="156">
      <c r="A156" s="18" t="str">
        <f>'Cashflow Schedule'!B156</f>
        <v/>
      </c>
      <c r="B156" s="18" t="str">
        <f>'Cashflow Schedule'!E156</f>
        <v/>
      </c>
      <c r="C156" s="21" t="str">
        <f>IF(A156="","",EXP(-Inputs!$C$7*A156))</f>
        <v/>
      </c>
      <c r="D156" s="22" t="str">
        <f t="shared" si="1"/>
        <v/>
      </c>
      <c r="E156" s="22" t="str">
        <f>IF(A156="","",Inputs!$C$6*D156)</f>
        <v/>
      </c>
    </row>
    <row r="157">
      <c r="A157" s="18" t="str">
        <f>'Cashflow Schedule'!B157</f>
        <v/>
      </c>
      <c r="B157" s="18" t="str">
        <f>'Cashflow Schedule'!E157</f>
        <v/>
      </c>
      <c r="C157" s="21" t="str">
        <f>IF(A157="","",EXP(-Inputs!$C$7*A157))</f>
        <v/>
      </c>
      <c r="D157" s="22" t="str">
        <f t="shared" si="1"/>
        <v/>
      </c>
      <c r="E157" s="22" t="str">
        <f>IF(A157="","",Inputs!$C$6*D157)</f>
        <v/>
      </c>
    </row>
    <row r="158">
      <c r="A158" s="18" t="str">
        <f>'Cashflow Schedule'!B158</f>
        <v/>
      </c>
      <c r="B158" s="18" t="str">
        <f>'Cashflow Schedule'!E158</f>
        <v/>
      </c>
      <c r="C158" s="21" t="str">
        <f>IF(A158="","",EXP(-Inputs!$C$7*A158))</f>
        <v/>
      </c>
      <c r="D158" s="22" t="str">
        <f t="shared" si="1"/>
        <v/>
      </c>
      <c r="E158" s="22" t="str">
        <f>IF(A158="","",Inputs!$C$6*D158)</f>
        <v/>
      </c>
    </row>
    <row r="159">
      <c r="A159" s="18" t="str">
        <f>'Cashflow Schedule'!B159</f>
        <v/>
      </c>
      <c r="B159" s="18" t="str">
        <f>'Cashflow Schedule'!E159</f>
        <v/>
      </c>
      <c r="C159" s="21" t="str">
        <f>IF(A159="","",EXP(-Inputs!$C$7*A159))</f>
        <v/>
      </c>
      <c r="D159" s="22" t="str">
        <f t="shared" si="1"/>
        <v/>
      </c>
      <c r="E159" s="22" t="str">
        <f>IF(A159="","",Inputs!$C$6*D159)</f>
        <v/>
      </c>
    </row>
    <row r="160">
      <c r="A160" s="18" t="str">
        <f>'Cashflow Schedule'!B160</f>
        <v/>
      </c>
      <c r="B160" s="18" t="str">
        <f>'Cashflow Schedule'!E160</f>
        <v/>
      </c>
      <c r="C160" s="21" t="str">
        <f>IF(A160="","",EXP(-Inputs!$C$7*A160))</f>
        <v/>
      </c>
      <c r="D160" s="22" t="str">
        <f t="shared" si="1"/>
        <v/>
      </c>
      <c r="E160" s="22" t="str">
        <f>IF(A160="","",Inputs!$C$6*D160)</f>
        <v/>
      </c>
    </row>
    <row r="161">
      <c r="A161" s="18" t="str">
        <f>'Cashflow Schedule'!B161</f>
        <v/>
      </c>
      <c r="B161" s="18" t="str">
        <f>'Cashflow Schedule'!E161</f>
        <v/>
      </c>
      <c r="C161" s="21" t="str">
        <f>IF(A161="","",EXP(-Inputs!$C$7*A161))</f>
        <v/>
      </c>
      <c r="D161" s="22" t="str">
        <f t="shared" si="1"/>
        <v/>
      </c>
      <c r="E161" s="22" t="str">
        <f>IF(A161="","",Inputs!$C$6*D161)</f>
        <v/>
      </c>
    </row>
    <row r="162">
      <c r="A162" s="18" t="str">
        <f>'Cashflow Schedule'!B162</f>
        <v/>
      </c>
      <c r="B162" s="18" t="str">
        <f>'Cashflow Schedule'!E162</f>
        <v/>
      </c>
      <c r="C162" s="21" t="str">
        <f>IF(A162="","",EXP(-Inputs!$C$7*A162))</f>
        <v/>
      </c>
      <c r="D162" s="22" t="str">
        <f t="shared" si="1"/>
        <v/>
      </c>
      <c r="E162" s="22" t="str">
        <f>IF(A162="","",Inputs!$C$6*D162)</f>
        <v/>
      </c>
    </row>
    <row r="163">
      <c r="A163" s="18" t="str">
        <f>'Cashflow Schedule'!B163</f>
        <v/>
      </c>
      <c r="B163" s="18" t="str">
        <f>'Cashflow Schedule'!E163</f>
        <v/>
      </c>
      <c r="C163" s="21" t="str">
        <f>IF(A163="","",EXP(-Inputs!$C$7*A163))</f>
        <v/>
      </c>
      <c r="D163" s="22" t="str">
        <f t="shared" si="1"/>
        <v/>
      </c>
      <c r="E163" s="22" t="str">
        <f>IF(A163="","",Inputs!$C$6*D163)</f>
        <v/>
      </c>
    </row>
    <row r="164">
      <c r="A164" s="18" t="str">
        <f>'Cashflow Schedule'!B164</f>
        <v/>
      </c>
      <c r="B164" s="18" t="str">
        <f>'Cashflow Schedule'!E164</f>
        <v/>
      </c>
      <c r="C164" s="21" t="str">
        <f>IF(A164="","",EXP(-Inputs!$C$7*A164))</f>
        <v/>
      </c>
      <c r="D164" s="22" t="str">
        <f t="shared" si="1"/>
        <v/>
      </c>
      <c r="E164" s="22" t="str">
        <f>IF(A164="","",Inputs!$C$6*D164)</f>
        <v/>
      </c>
    </row>
    <row r="165">
      <c r="A165" s="18" t="str">
        <f>'Cashflow Schedule'!B165</f>
        <v/>
      </c>
      <c r="B165" s="18" t="str">
        <f>'Cashflow Schedule'!E165</f>
        <v/>
      </c>
      <c r="C165" s="21" t="str">
        <f>IF(A165="","",EXP(-Inputs!$C$7*A165))</f>
        <v/>
      </c>
      <c r="D165" s="22" t="str">
        <f t="shared" si="1"/>
        <v/>
      </c>
      <c r="E165" s="22" t="str">
        <f>IF(A165="","",Inputs!$C$6*D165)</f>
        <v/>
      </c>
    </row>
    <row r="166">
      <c r="A166" s="18" t="str">
        <f>'Cashflow Schedule'!B166</f>
        <v/>
      </c>
      <c r="B166" s="18" t="str">
        <f>'Cashflow Schedule'!E166</f>
        <v/>
      </c>
      <c r="C166" s="21" t="str">
        <f>IF(A166="","",EXP(-Inputs!$C$7*A166))</f>
        <v/>
      </c>
      <c r="D166" s="22" t="str">
        <f t="shared" si="1"/>
        <v/>
      </c>
      <c r="E166" s="22" t="str">
        <f>IF(A166="","",Inputs!$C$6*D166)</f>
        <v/>
      </c>
    </row>
    <row r="167">
      <c r="A167" s="18" t="str">
        <f>'Cashflow Schedule'!B167</f>
        <v/>
      </c>
      <c r="B167" s="18" t="str">
        <f>'Cashflow Schedule'!E167</f>
        <v/>
      </c>
      <c r="C167" s="21" t="str">
        <f>IF(A167="","",EXP(-Inputs!$C$7*A167))</f>
        <v/>
      </c>
      <c r="D167" s="22" t="str">
        <f t="shared" si="1"/>
        <v/>
      </c>
      <c r="E167" s="22" t="str">
        <f>IF(A167="","",Inputs!$C$6*D167)</f>
        <v/>
      </c>
    </row>
    <row r="168">
      <c r="A168" s="18" t="str">
        <f>'Cashflow Schedule'!B168</f>
        <v/>
      </c>
      <c r="B168" s="18" t="str">
        <f>'Cashflow Schedule'!E168</f>
        <v/>
      </c>
      <c r="C168" s="21" t="str">
        <f>IF(A168="","",EXP(-Inputs!$C$7*A168))</f>
        <v/>
      </c>
      <c r="D168" s="22" t="str">
        <f t="shared" si="1"/>
        <v/>
      </c>
      <c r="E168" s="22" t="str">
        <f>IF(A168="","",Inputs!$C$6*D168)</f>
        <v/>
      </c>
    </row>
    <row r="169">
      <c r="A169" s="18" t="str">
        <f>'Cashflow Schedule'!B169</f>
        <v/>
      </c>
      <c r="B169" s="18" t="str">
        <f>'Cashflow Schedule'!E169</f>
        <v/>
      </c>
      <c r="C169" s="21" t="str">
        <f>IF(A169="","",EXP(-Inputs!$C$7*A169))</f>
        <v/>
      </c>
      <c r="D169" s="22" t="str">
        <f t="shared" si="1"/>
        <v/>
      </c>
      <c r="E169" s="22" t="str">
        <f>IF(A169="","",Inputs!$C$6*D169)</f>
        <v/>
      </c>
    </row>
    <row r="170">
      <c r="A170" s="18" t="str">
        <f>'Cashflow Schedule'!B170</f>
        <v/>
      </c>
      <c r="B170" s="18" t="str">
        <f>'Cashflow Schedule'!E170</f>
        <v/>
      </c>
      <c r="C170" s="21" t="str">
        <f>IF(A170="","",EXP(-Inputs!$C$7*A170))</f>
        <v/>
      </c>
      <c r="D170" s="22" t="str">
        <f t="shared" si="1"/>
        <v/>
      </c>
      <c r="E170" s="22" t="str">
        <f>IF(A170="","",Inputs!$C$6*D170)</f>
        <v/>
      </c>
    </row>
    <row r="171">
      <c r="A171" s="18" t="str">
        <f>'Cashflow Schedule'!B171</f>
        <v/>
      </c>
      <c r="B171" s="18" t="str">
        <f>'Cashflow Schedule'!E171</f>
        <v/>
      </c>
      <c r="C171" s="21" t="str">
        <f>IF(A171="","",EXP(-Inputs!$C$7*A171))</f>
        <v/>
      </c>
      <c r="D171" s="22" t="str">
        <f t="shared" si="1"/>
        <v/>
      </c>
      <c r="E171" s="22" t="str">
        <f>IF(A171="","",Inputs!$C$6*D171)</f>
        <v/>
      </c>
    </row>
    <row r="172">
      <c r="A172" s="18" t="str">
        <f>'Cashflow Schedule'!B172</f>
        <v/>
      </c>
      <c r="B172" s="18" t="str">
        <f>'Cashflow Schedule'!E172</f>
        <v/>
      </c>
      <c r="C172" s="21" t="str">
        <f>IF(A172="","",EXP(-Inputs!$C$7*A172))</f>
        <v/>
      </c>
      <c r="D172" s="22" t="str">
        <f t="shared" si="1"/>
        <v/>
      </c>
      <c r="E172" s="22" t="str">
        <f>IF(A172="","",Inputs!$C$6*D172)</f>
        <v/>
      </c>
    </row>
    <row r="173">
      <c r="A173" s="18" t="str">
        <f>'Cashflow Schedule'!B173</f>
        <v/>
      </c>
      <c r="B173" s="18" t="str">
        <f>'Cashflow Schedule'!E173</f>
        <v/>
      </c>
      <c r="C173" s="21" t="str">
        <f>IF(A173="","",EXP(-Inputs!$C$7*A173))</f>
        <v/>
      </c>
      <c r="D173" s="22" t="str">
        <f t="shared" si="1"/>
        <v/>
      </c>
      <c r="E173" s="22" t="str">
        <f>IF(A173="","",Inputs!$C$6*D173)</f>
        <v/>
      </c>
    </row>
    <row r="174">
      <c r="A174" s="18" t="str">
        <f>'Cashflow Schedule'!B174</f>
        <v/>
      </c>
      <c r="B174" s="18" t="str">
        <f>'Cashflow Schedule'!E174</f>
        <v/>
      </c>
      <c r="C174" s="21" t="str">
        <f>IF(A174="","",EXP(-Inputs!$C$7*A174))</f>
        <v/>
      </c>
      <c r="D174" s="22" t="str">
        <f t="shared" si="1"/>
        <v/>
      </c>
      <c r="E174" s="22" t="str">
        <f>IF(A174="","",Inputs!$C$6*D174)</f>
        <v/>
      </c>
    </row>
    <row r="175">
      <c r="A175" s="18" t="str">
        <f>'Cashflow Schedule'!B175</f>
        <v/>
      </c>
      <c r="B175" s="18" t="str">
        <f>'Cashflow Schedule'!E175</f>
        <v/>
      </c>
      <c r="C175" s="21" t="str">
        <f>IF(A175="","",EXP(-Inputs!$C$7*A175))</f>
        <v/>
      </c>
      <c r="D175" s="22" t="str">
        <f t="shared" si="1"/>
        <v/>
      </c>
      <c r="E175" s="22" t="str">
        <f>IF(A175="","",Inputs!$C$6*D175)</f>
        <v/>
      </c>
    </row>
    <row r="176">
      <c r="A176" s="18" t="str">
        <f>'Cashflow Schedule'!B176</f>
        <v/>
      </c>
      <c r="B176" s="18" t="str">
        <f>'Cashflow Schedule'!E176</f>
        <v/>
      </c>
      <c r="C176" s="21" t="str">
        <f>IF(A176="","",EXP(-Inputs!$C$7*A176))</f>
        <v/>
      </c>
      <c r="D176" s="22" t="str">
        <f t="shared" si="1"/>
        <v/>
      </c>
      <c r="E176" s="22" t="str">
        <f>IF(A176="","",Inputs!$C$6*D176)</f>
        <v/>
      </c>
    </row>
    <row r="177">
      <c r="A177" s="18" t="str">
        <f>'Cashflow Schedule'!B177</f>
        <v/>
      </c>
      <c r="B177" s="18" t="str">
        <f>'Cashflow Schedule'!E177</f>
        <v/>
      </c>
      <c r="C177" s="21" t="str">
        <f>IF(A177="","",EXP(-Inputs!$C$7*A177))</f>
        <v/>
      </c>
      <c r="D177" s="22" t="str">
        <f t="shared" si="1"/>
        <v/>
      </c>
      <c r="E177" s="22" t="str">
        <f>IF(A177="","",Inputs!$C$6*D177)</f>
        <v/>
      </c>
    </row>
    <row r="178">
      <c r="A178" s="18" t="str">
        <f>'Cashflow Schedule'!B178</f>
        <v/>
      </c>
      <c r="B178" s="18" t="str">
        <f>'Cashflow Schedule'!E178</f>
        <v/>
      </c>
      <c r="C178" s="21" t="str">
        <f>IF(A178="","",EXP(-Inputs!$C$7*A178))</f>
        <v/>
      </c>
      <c r="D178" s="22" t="str">
        <f t="shared" si="1"/>
        <v/>
      </c>
      <c r="E178" s="22" t="str">
        <f>IF(A178="","",Inputs!$C$6*D178)</f>
        <v/>
      </c>
    </row>
    <row r="179">
      <c r="A179" s="18" t="str">
        <f>'Cashflow Schedule'!B179</f>
        <v/>
      </c>
      <c r="B179" s="18" t="str">
        <f>'Cashflow Schedule'!E179</f>
        <v/>
      </c>
      <c r="C179" s="21" t="str">
        <f>IF(A179="","",EXP(-Inputs!$C$7*A179))</f>
        <v/>
      </c>
      <c r="D179" s="22" t="str">
        <f t="shared" si="1"/>
        <v/>
      </c>
      <c r="E179" s="22" t="str">
        <f>IF(A179="","",Inputs!$C$6*D179)</f>
        <v/>
      </c>
    </row>
    <row r="180">
      <c r="A180" s="18" t="str">
        <f>'Cashflow Schedule'!B180</f>
        <v/>
      </c>
      <c r="B180" s="18" t="str">
        <f>'Cashflow Schedule'!E180</f>
        <v/>
      </c>
      <c r="C180" s="21" t="str">
        <f>IF(A180="","",EXP(-Inputs!$C$7*A180))</f>
        <v/>
      </c>
      <c r="D180" s="22" t="str">
        <f t="shared" si="1"/>
        <v/>
      </c>
      <c r="E180" s="22" t="str">
        <f>IF(A180="","",Inputs!$C$6*D180)</f>
        <v/>
      </c>
    </row>
    <row r="181">
      <c r="A181" s="18" t="str">
        <f>'Cashflow Schedule'!B181</f>
        <v/>
      </c>
      <c r="B181" s="18" t="str">
        <f>'Cashflow Schedule'!E181</f>
        <v/>
      </c>
      <c r="C181" s="21" t="str">
        <f>IF(A181="","",EXP(-Inputs!$C$7*A181))</f>
        <v/>
      </c>
      <c r="D181" s="22" t="str">
        <f t="shared" si="1"/>
        <v/>
      </c>
      <c r="E181" s="22" t="str">
        <f>IF(A181="","",Inputs!$C$6*D181)</f>
        <v/>
      </c>
    </row>
    <row r="182">
      <c r="A182" s="18" t="str">
        <f>'Cashflow Schedule'!B182</f>
        <v/>
      </c>
      <c r="B182" s="18" t="str">
        <f>'Cashflow Schedule'!E182</f>
        <v/>
      </c>
      <c r="C182" s="21" t="str">
        <f>IF(A182="","",EXP(-Inputs!$C$7*A182))</f>
        <v/>
      </c>
      <c r="D182" s="22" t="str">
        <f t="shared" si="1"/>
        <v/>
      </c>
      <c r="E182" s="22" t="str">
        <f>IF(A182="","",Inputs!$C$6*D182)</f>
        <v/>
      </c>
    </row>
    <row r="183">
      <c r="A183" s="18" t="str">
        <f>'Cashflow Schedule'!B183</f>
        <v/>
      </c>
      <c r="B183" s="18" t="str">
        <f>'Cashflow Schedule'!E183</f>
        <v/>
      </c>
      <c r="C183" s="21" t="str">
        <f>IF(A183="","",EXP(-Inputs!$C$7*A183))</f>
        <v/>
      </c>
      <c r="D183" s="22" t="str">
        <f t="shared" si="1"/>
        <v/>
      </c>
      <c r="E183" s="22" t="str">
        <f>IF(A183="","",Inputs!$C$6*D183)</f>
        <v/>
      </c>
    </row>
    <row r="184">
      <c r="A184" s="18" t="str">
        <f>'Cashflow Schedule'!B184</f>
        <v/>
      </c>
      <c r="B184" s="18" t="str">
        <f>'Cashflow Schedule'!E184</f>
        <v/>
      </c>
      <c r="C184" s="21" t="str">
        <f>IF(A184="","",EXP(-Inputs!$C$7*A184))</f>
        <v/>
      </c>
      <c r="D184" s="22" t="str">
        <f t="shared" si="1"/>
        <v/>
      </c>
      <c r="E184" s="22" t="str">
        <f>IF(A184="","",Inputs!$C$6*D184)</f>
        <v/>
      </c>
    </row>
    <row r="185">
      <c r="A185" s="18" t="str">
        <f>'Cashflow Schedule'!B185</f>
        <v/>
      </c>
      <c r="B185" s="18" t="str">
        <f>'Cashflow Schedule'!E185</f>
        <v/>
      </c>
      <c r="C185" s="21" t="str">
        <f>IF(A185="","",EXP(-Inputs!$C$7*A185))</f>
        <v/>
      </c>
      <c r="D185" s="22" t="str">
        <f t="shared" si="1"/>
        <v/>
      </c>
      <c r="E185" s="22" t="str">
        <f>IF(A185="","",Inputs!$C$6*D185)</f>
        <v/>
      </c>
    </row>
    <row r="186">
      <c r="A186" s="18" t="str">
        <f>'Cashflow Schedule'!B186</f>
        <v/>
      </c>
      <c r="B186" s="18" t="str">
        <f>'Cashflow Schedule'!E186</f>
        <v/>
      </c>
      <c r="C186" s="21" t="str">
        <f>IF(A186="","",EXP(-Inputs!$C$7*A186))</f>
        <v/>
      </c>
      <c r="D186" s="22" t="str">
        <f t="shared" si="1"/>
        <v/>
      </c>
      <c r="E186" s="22" t="str">
        <f>IF(A186="","",Inputs!$C$6*D186)</f>
        <v/>
      </c>
    </row>
    <row r="187">
      <c r="A187" s="18" t="str">
        <f>'Cashflow Schedule'!B187</f>
        <v/>
      </c>
      <c r="B187" s="18" t="str">
        <f>'Cashflow Schedule'!E187</f>
        <v/>
      </c>
      <c r="C187" s="21" t="str">
        <f>IF(A187="","",EXP(-Inputs!$C$7*A187))</f>
        <v/>
      </c>
      <c r="D187" s="22" t="str">
        <f t="shared" si="1"/>
        <v/>
      </c>
      <c r="E187" s="22" t="str">
        <f>IF(A187="","",Inputs!$C$6*D187)</f>
        <v/>
      </c>
    </row>
    <row r="188">
      <c r="A188" s="18" t="str">
        <f>'Cashflow Schedule'!B188</f>
        <v/>
      </c>
      <c r="B188" s="18" t="str">
        <f>'Cashflow Schedule'!E188</f>
        <v/>
      </c>
      <c r="C188" s="21" t="str">
        <f>IF(A188="","",EXP(-Inputs!$C$7*A188))</f>
        <v/>
      </c>
      <c r="D188" s="22" t="str">
        <f t="shared" si="1"/>
        <v/>
      </c>
      <c r="E188" s="22" t="str">
        <f>IF(A188="","",Inputs!$C$6*D188)</f>
        <v/>
      </c>
    </row>
    <row r="189">
      <c r="A189" s="18" t="str">
        <f>'Cashflow Schedule'!B189</f>
        <v/>
      </c>
      <c r="B189" s="18" t="str">
        <f>'Cashflow Schedule'!E189</f>
        <v/>
      </c>
      <c r="C189" s="21" t="str">
        <f>IF(A189="","",EXP(-Inputs!$C$7*A189))</f>
        <v/>
      </c>
      <c r="D189" s="22" t="str">
        <f t="shared" si="1"/>
        <v/>
      </c>
      <c r="E189" s="22" t="str">
        <f>IF(A189="","",Inputs!$C$6*D189)</f>
        <v/>
      </c>
    </row>
    <row r="190">
      <c r="A190" s="18" t="str">
        <f>'Cashflow Schedule'!B190</f>
        <v/>
      </c>
      <c r="B190" s="18" t="str">
        <f>'Cashflow Schedule'!E190</f>
        <v/>
      </c>
      <c r="C190" s="21" t="str">
        <f>IF(A190="","",EXP(-Inputs!$C$7*A190))</f>
        <v/>
      </c>
      <c r="D190" s="22" t="str">
        <f t="shared" si="1"/>
        <v/>
      </c>
      <c r="E190" s="22" t="str">
        <f>IF(A190="","",Inputs!$C$6*D190)</f>
        <v/>
      </c>
    </row>
    <row r="191">
      <c r="A191" s="18" t="str">
        <f>'Cashflow Schedule'!B191</f>
        <v/>
      </c>
      <c r="B191" s="18" t="str">
        <f>'Cashflow Schedule'!E191</f>
        <v/>
      </c>
      <c r="C191" s="21" t="str">
        <f>IF(A191="","",EXP(-Inputs!$C$7*A191))</f>
        <v/>
      </c>
      <c r="D191" s="22" t="str">
        <f t="shared" si="1"/>
        <v/>
      </c>
      <c r="E191" s="22" t="str">
        <f>IF(A191="","",Inputs!$C$6*D191)</f>
        <v/>
      </c>
    </row>
    <row r="192">
      <c r="A192" s="18" t="str">
        <f>'Cashflow Schedule'!B192</f>
        <v/>
      </c>
      <c r="B192" s="18" t="str">
        <f>'Cashflow Schedule'!E192</f>
        <v/>
      </c>
      <c r="C192" s="21" t="str">
        <f>IF(A192="","",EXP(-Inputs!$C$7*A192))</f>
        <v/>
      </c>
      <c r="D192" s="22" t="str">
        <f t="shared" si="1"/>
        <v/>
      </c>
      <c r="E192" s="22" t="str">
        <f>IF(A192="","",Inputs!$C$6*D192)</f>
        <v/>
      </c>
    </row>
    <row r="193">
      <c r="A193" s="18" t="str">
        <f>'Cashflow Schedule'!B193</f>
        <v/>
      </c>
      <c r="B193" s="18" t="str">
        <f>'Cashflow Schedule'!E193</f>
        <v/>
      </c>
      <c r="C193" s="21" t="str">
        <f>IF(A193="","",EXP(-Inputs!$C$7*A193))</f>
        <v/>
      </c>
      <c r="D193" s="22" t="str">
        <f t="shared" si="1"/>
        <v/>
      </c>
      <c r="E193" s="22" t="str">
        <f>IF(A193="","",Inputs!$C$6*D193)</f>
        <v/>
      </c>
    </row>
    <row r="194">
      <c r="A194" s="18" t="str">
        <f>'Cashflow Schedule'!B194</f>
        <v/>
      </c>
      <c r="B194" s="18" t="str">
        <f>'Cashflow Schedule'!E194</f>
        <v/>
      </c>
      <c r="C194" s="21" t="str">
        <f>IF(A194="","",EXP(-Inputs!$C$7*A194))</f>
        <v/>
      </c>
      <c r="D194" s="22" t="str">
        <f t="shared" si="1"/>
        <v/>
      </c>
      <c r="E194" s="22" t="str">
        <f>IF(A194="","",Inputs!$C$6*D194)</f>
        <v/>
      </c>
    </row>
    <row r="195">
      <c r="A195" s="18" t="str">
        <f>'Cashflow Schedule'!B195</f>
        <v/>
      </c>
      <c r="B195" s="18" t="str">
        <f>'Cashflow Schedule'!E195</f>
        <v/>
      </c>
      <c r="C195" s="21" t="str">
        <f>IF(A195="","",EXP(-Inputs!$C$7*A195))</f>
        <v/>
      </c>
      <c r="D195" s="22" t="str">
        <f t="shared" si="1"/>
        <v/>
      </c>
      <c r="E195" s="22" t="str">
        <f>IF(A195="","",Inputs!$C$6*D195)</f>
        <v/>
      </c>
    </row>
    <row r="196">
      <c r="A196" s="18" t="str">
        <f>'Cashflow Schedule'!B196</f>
        <v/>
      </c>
      <c r="B196" s="18" t="str">
        <f>'Cashflow Schedule'!E196</f>
        <v/>
      </c>
      <c r="C196" s="21" t="str">
        <f>IF(A196="","",EXP(-Inputs!$C$7*A196))</f>
        <v/>
      </c>
      <c r="D196" s="22" t="str">
        <f t="shared" si="1"/>
        <v/>
      </c>
      <c r="E196" s="22" t="str">
        <f>IF(A196="","",Inputs!$C$6*D196)</f>
        <v/>
      </c>
    </row>
    <row r="197">
      <c r="A197" s="18" t="str">
        <f>'Cashflow Schedule'!B197</f>
        <v/>
      </c>
      <c r="B197" s="18" t="str">
        <f>'Cashflow Schedule'!E197</f>
        <v/>
      </c>
      <c r="C197" s="21" t="str">
        <f>IF(A197="","",EXP(-Inputs!$C$7*A197))</f>
        <v/>
      </c>
      <c r="D197" s="22" t="str">
        <f t="shared" si="1"/>
        <v/>
      </c>
      <c r="E197" s="22" t="str">
        <f>IF(A197="","",Inputs!$C$6*D197)</f>
        <v/>
      </c>
    </row>
    <row r="198">
      <c r="A198" s="18" t="str">
        <f>'Cashflow Schedule'!B198</f>
        <v/>
      </c>
      <c r="B198" s="18" t="str">
        <f>'Cashflow Schedule'!E198</f>
        <v/>
      </c>
      <c r="C198" s="21" t="str">
        <f>IF(A198="","",EXP(-Inputs!$C$7*A198))</f>
        <v/>
      </c>
      <c r="D198" s="22" t="str">
        <f t="shared" si="1"/>
        <v/>
      </c>
      <c r="E198" s="22" t="str">
        <f>IF(A198="","",Inputs!$C$6*D198)</f>
        <v/>
      </c>
    </row>
    <row r="199">
      <c r="A199" s="18" t="str">
        <f>'Cashflow Schedule'!B199</f>
        <v/>
      </c>
      <c r="B199" s="18" t="str">
        <f>'Cashflow Schedule'!E199</f>
        <v/>
      </c>
      <c r="C199" s="21" t="str">
        <f>IF(A199="","",EXP(-Inputs!$C$7*A199))</f>
        <v/>
      </c>
      <c r="D199" s="22" t="str">
        <f t="shared" si="1"/>
        <v/>
      </c>
      <c r="E199" s="22" t="str">
        <f>IF(A199="","",Inputs!$C$6*D199)</f>
        <v/>
      </c>
    </row>
    <row r="200">
      <c r="A200" s="18" t="str">
        <f>'Cashflow Schedule'!B200</f>
        <v/>
      </c>
      <c r="B200" s="18" t="str">
        <f>'Cashflow Schedule'!E200</f>
        <v/>
      </c>
      <c r="C200" s="21" t="str">
        <f>IF(A200="","",EXP(-Inputs!$C$7*A200))</f>
        <v/>
      </c>
      <c r="D200" s="22" t="str">
        <f t="shared" si="1"/>
        <v/>
      </c>
      <c r="E200" s="22" t="str">
        <f>IF(A200="","",Inputs!$C$6*D200)</f>
        <v/>
      </c>
    </row>
    <row r="201">
      <c r="A201" s="18" t="str">
        <f>'Cashflow Schedule'!B201</f>
        <v/>
      </c>
      <c r="B201" s="18" t="str">
        <f>'Cashflow Schedule'!E201</f>
        <v/>
      </c>
      <c r="C201" s="21" t="str">
        <f>IF(A201="","",EXP(-Inputs!$C$7*A201))</f>
        <v/>
      </c>
      <c r="D201" s="22" t="str">
        <f t="shared" si="1"/>
        <v/>
      </c>
      <c r="E201" s="22" t="str">
        <f>IF(A201="","",Inputs!$C$6*D201)</f>
        <v/>
      </c>
    </row>
    <row r="202">
      <c r="A202" s="18" t="str">
        <f>'Cashflow Schedule'!B202</f>
        <v/>
      </c>
      <c r="B202" s="18" t="str">
        <f>'Cashflow Schedule'!E202</f>
        <v/>
      </c>
      <c r="C202" s="21" t="str">
        <f>IF(A202="","",EXP(-Inputs!$C$7*A202))</f>
        <v/>
      </c>
      <c r="D202" s="22" t="str">
        <f t="shared" si="1"/>
        <v/>
      </c>
      <c r="E202" s="22" t="str">
        <f>IF(A202="","",Inputs!$C$6*D202)</f>
        <v/>
      </c>
    </row>
    <row r="203">
      <c r="A203" s="18" t="str">
        <f>'Cashflow Schedule'!B203</f>
        <v/>
      </c>
      <c r="B203" s="18" t="str">
        <f>'Cashflow Schedule'!E203</f>
        <v/>
      </c>
      <c r="C203" s="21" t="str">
        <f>IF(A203="","",EXP(-Inputs!$C$7*A203))</f>
        <v/>
      </c>
      <c r="D203" s="22" t="str">
        <f t="shared" si="1"/>
        <v/>
      </c>
      <c r="E203" s="22" t="str">
        <f>IF(A203="","",Inputs!$C$6*D203)</f>
        <v/>
      </c>
    </row>
    <row r="204">
      <c r="A204" s="18" t="str">
        <f>'Cashflow Schedule'!B204</f>
        <v/>
      </c>
      <c r="B204" s="18" t="str">
        <f>'Cashflow Schedule'!E204</f>
        <v/>
      </c>
      <c r="C204" s="21" t="str">
        <f>IF(A204="","",EXP(-Inputs!$C$7*A204))</f>
        <v/>
      </c>
      <c r="D204" s="22" t="str">
        <f t="shared" si="1"/>
        <v/>
      </c>
      <c r="E204" s="22" t="str">
        <f>IF(A204="","",Inputs!$C$6*D204)</f>
        <v/>
      </c>
    </row>
    <row r="205">
      <c r="A205" s="18" t="str">
        <f>'Cashflow Schedule'!B205</f>
        <v/>
      </c>
      <c r="B205" s="18" t="str">
        <f>'Cashflow Schedule'!E205</f>
        <v/>
      </c>
      <c r="C205" s="21" t="str">
        <f>IF(A205="","",EXP(-Inputs!$C$7*A205))</f>
        <v/>
      </c>
      <c r="D205" s="22" t="str">
        <f t="shared" si="1"/>
        <v/>
      </c>
      <c r="E205" s="22" t="str">
        <f>IF(A205="","",Inputs!$C$6*D205)</f>
        <v/>
      </c>
    </row>
    <row r="206">
      <c r="A206" s="18" t="str">
        <f>'Cashflow Schedule'!B206</f>
        <v/>
      </c>
      <c r="B206" s="18" t="str">
        <f>'Cashflow Schedule'!E206</f>
        <v/>
      </c>
      <c r="C206" s="21" t="str">
        <f>IF(A206="","",EXP(-Inputs!$C$7*A206))</f>
        <v/>
      </c>
      <c r="D206" s="22" t="str">
        <f t="shared" si="1"/>
        <v/>
      </c>
      <c r="E206" s="22" t="str">
        <f>IF(A206="","",Inputs!$C$6*D206)</f>
        <v/>
      </c>
    </row>
    <row r="207">
      <c r="A207" s="18" t="str">
        <f>'Cashflow Schedule'!B207</f>
        <v/>
      </c>
      <c r="B207" s="18" t="str">
        <f>'Cashflow Schedule'!E207</f>
        <v/>
      </c>
      <c r="C207" s="21" t="str">
        <f>IF(A207="","",EXP(-Inputs!$C$7*A207))</f>
        <v/>
      </c>
      <c r="D207" s="22" t="str">
        <f t="shared" si="1"/>
        <v/>
      </c>
      <c r="E207" s="22" t="str">
        <f>IF(A207="","",Inputs!$C$6*D207)</f>
        <v/>
      </c>
    </row>
    <row r="208">
      <c r="A208" s="18" t="str">
        <f>'Cashflow Schedule'!B208</f>
        <v/>
      </c>
      <c r="B208" s="18" t="str">
        <f>'Cashflow Schedule'!E208</f>
        <v/>
      </c>
      <c r="C208" s="21" t="str">
        <f>IF(A208="","",EXP(-Inputs!$C$7*A208))</f>
        <v/>
      </c>
      <c r="D208" s="22" t="str">
        <f t="shared" si="1"/>
        <v/>
      </c>
      <c r="E208" s="22" t="str">
        <f>IF(A208="","",Inputs!$C$6*D208)</f>
        <v/>
      </c>
    </row>
    <row r="209">
      <c r="A209" s="18" t="str">
        <f>'Cashflow Schedule'!B209</f>
        <v/>
      </c>
      <c r="B209" s="18" t="str">
        <f>'Cashflow Schedule'!E209</f>
        <v/>
      </c>
      <c r="C209" s="21" t="str">
        <f>IF(A209="","",EXP(-Inputs!$C$7*A209))</f>
        <v/>
      </c>
      <c r="D209" s="22" t="str">
        <f t="shared" si="1"/>
        <v/>
      </c>
      <c r="E209" s="22" t="str">
        <f>IF(A209="","",Inputs!$C$6*D209)</f>
        <v/>
      </c>
    </row>
    <row r="210">
      <c r="A210" s="18" t="str">
        <f>'Cashflow Schedule'!B210</f>
        <v/>
      </c>
      <c r="B210" s="18" t="str">
        <f>'Cashflow Schedule'!E210</f>
        <v/>
      </c>
      <c r="C210" s="21" t="str">
        <f>IF(A210="","",EXP(-Inputs!$C$7*A210))</f>
        <v/>
      </c>
      <c r="D210" s="22" t="str">
        <f t="shared" si="1"/>
        <v/>
      </c>
      <c r="E210" s="22" t="str">
        <f>IF(A210="","",Inputs!$C$6*D210)</f>
        <v/>
      </c>
    </row>
    <row r="211">
      <c r="A211" s="18" t="str">
        <f>'Cashflow Schedule'!B211</f>
        <v/>
      </c>
      <c r="B211" s="18" t="str">
        <f>'Cashflow Schedule'!E211</f>
        <v/>
      </c>
      <c r="C211" s="21" t="str">
        <f>IF(A211="","",EXP(-Inputs!$C$7*A211))</f>
        <v/>
      </c>
      <c r="D211" s="22" t="str">
        <f t="shared" si="1"/>
        <v/>
      </c>
      <c r="E211" s="22" t="str">
        <f>IF(A211="","",Inputs!$C$6*D211)</f>
        <v/>
      </c>
    </row>
    <row r="212">
      <c r="A212" s="18" t="str">
        <f>'Cashflow Schedule'!B212</f>
        <v/>
      </c>
      <c r="B212" s="18" t="str">
        <f>'Cashflow Schedule'!E212</f>
        <v/>
      </c>
      <c r="C212" s="21" t="str">
        <f>IF(A212="","",EXP(-Inputs!$C$7*A212))</f>
        <v/>
      </c>
      <c r="D212" s="22" t="str">
        <f t="shared" si="1"/>
        <v/>
      </c>
      <c r="E212" s="22" t="str">
        <f>IF(A212="","",Inputs!$C$6*D212)</f>
        <v/>
      </c>
    </row>
    <row r="213">
      <c r="A213" s="18" t="str">
        <f>'Cashflow Schedule'!B213</f>
        <v/>
      </c>
      <c r="B213" s="18" t="str">
        <f>'Cashflow Schedule'!E213</f>
        <v/>
      </c>
      <c r="C213" s="21" t="str">
        <f>IF(A213="","",EXP(-Inputs!$C$7*A213))</f>
        <v/>
      </c>
      <c r="D213" s="22" t="str">
        <f t="shared" si="1"/>
        <v/>
      </c>
      <c r="E213" s="22" t="str">
        <f>IF(A213="","",Inputs!$C$6*D213)</f>
        <v/>
      </c>
    </row>
    <row r="214">
      <c r="A214" s="18" t="str">
        <f>'Cashflow Schedule'!B214</f>
        <v/>
      </c>
      <c r="B214" s="18" t="str">
        <f>'Cashflow Schedule'!E214</f>
        <v/>
      </c>
      <c r="C214" s="21" t="str">
        <f>IF(A214="","",EXP(-Inputs!$C$7*A214))</f>
        <v/>
      </c>
      <c r="D214" s="22" t="str">
        <f t="shared" si="1"/>
        <v/>
      </c>
      <c r="E214" s="22" t="str">
        <f>IF(A214="","",Inputs!$C$6*D214)</f>
        <v/>
      </c>
    </row>
    <row r="215">
      <c r="A215" s="18" t="str">
        <f>'Cashflow Schedule'!B215</f>
        <v/>
      </c>
      <c r="B215" s="18" t="str">
        <f>'Cashflow Schedule'!E215</f>
        <v/>
      </c>
      <c r="C215" s="21" t="str">
        <f>IF(A215="","",EXP(-Inputs!$C$7*A215))</f>
        <v/>
      </c>
      <c r="D215" s="22" t="str">
        <f t="shared" si="1"/>
        <v/>
      </c>
      <c r="E215" s="22" t="str">
        <f>IF(A215="","",Inputs!$C$6*D215)</f>
        <v/>
      </c>
    </row>
    <row r="216">
      <c r="A216" s="18" t="str">
        <f>'Cashflow Schedule'!B216</f>
        <v/>
      </c>
      <c r="B216" s="18" t="str">
        <f>'Cashflow Schedule'!E216</f>
        <v/>
      </c>
      <c r="C216" s="21" t="str">
        <f>IF(A216="","",EXP(-Inputs!$C$7*A216))</f>
        <v/>
      </c>
      <c r="D216" s="22" t="str">
        <f t="shared" si="1"/>
        <v/>
      </c>
      <c r="E216" s="22" t="str">
        <f>IF(A216="","",Inputs!$C$6*D216)</f>
        <v/>
      </c>
    </row>
    <row r="217">
      <c r="A217" s="18" t="str">
        <f>'Cashflow Schedule'!B217</f>
        <v/>
      </c>
      <c r="B217" s="18" t="str">
        <f>'Cashflow Schedule'!E217</f>
        <v/>
      </c>
      <c r="C217" s="21" t="str">
        <f>IF(A217="","",EXP(-Inputs!$C$7*A217))</f>
        <v/>
      </c>
      <c r="D217" s="22" t="str">
        <f t="shared" si="1"/>
        <v/>
      </c>
      <c r="E217" s="22" t="str">
        <f>IF(A217="","",Inputs!$C$6*D217)</f>
        <v/>
      </c>
    </row>
    <row r="218">
      <c r="A218" s="18" t="str">
        <f>'Cashflow Schedule'!B218</f>
        <v/>
      </c>
      <c r="B218" s="18" t="str">
        <f>'Cashflow Schedule'!E218</f>
        <v/>
      </c>
      <c r="C218" s="21" t="str">
        <f>IF(A218="","",EXP(-Inputs!$C$7*A218))</f>
        <v/>
      </c>
      <c r="D218" s="22" t="str">
        <f t="shared" si="1"/>
        <v/>
      </c>
      <c r="E218" s="22" t="str">
        <f>IF(A218="","",Inputs!$C$6*D218)</f>
        <v/>
      </c>
    </row>
    <row r="219">
      <c r="A219" s="18" t="str">
        <f>'Cashflow Schedule'!B219</f>
        <v/>
      </c>
      <c r="B219" s="18" t="str">
        <f>'Cashflow Schedule'!E219</f>
        <v/>
      </c>
      <c r="C219" s="21" t="str">
        <f>IF(A219="","",EXP(-Inputs!$C$7*A219))</f>
        <v/>
      </c>
      <c r="D219" s="22" t="str">
        <f t="shared" si="1"/>
        <v/>
      </c>
      <c r="E219" s="22" t="str">
        <f>IF(A219="","",Inputs!$C$6*D219)</f>
        <v/>
      </c>
    </row>
    <row r="220">
      <c r="A220" s="18" t="str">
        <f>'Cashflow Schedule'!B220</f>
        <v/>
      </c>
      <c r="B220" s="18" t="str">
        <f>'Cashflow Schedule'!E220</f>
        <v/>
      </c>
      <c r="C220" s="21" t="str">
        <f>IF(A220="","",EXP(-Inputs!$C$7*A220))</f>
        <v/>
      </c>
      <c r="D220" s="22" t="str">
        <f t="shared" si="1"/>
        <v/>
      </c>
      <c r="E220" s="22" t="str">
        <f>IF(A220="","",Inputs!$C$6*D220)</f>
        <v/>
      </c>
    </row>
    <row r="221">
      <c r="A221" s="18" t="str">
        <f>'Cashflow Schedule'!B221</f>
        <v/>
      </c>
      <c r="B221" s="18" t="str">
        <f>'Cashflow Schedule'!E221</f>
        <v/>
      </c>
      <c r="C221" s="21" t="str">
        <f>IF(A221="","",EXP(-Inputs!$C$7*A221))</f>
        <v/>
      </c>
      <c r="D221" s="22" t="str">
        <f t="shared" si="1"/>
        <v/>
      </c>
      <c r="E221" s="22" t="str">
        <f>IF(A221="","",Inputs!$C$6*D221)</f>
        <v/>
      </c>
    </row>
    <row r="222">
      <c r="A222" s="18" t="str">
        <f>'Cashflow Schedule'!B222</f>
        <v/>
      </c>
      <c r="B222" s="18" t="str">
        <f>'Cashflow Schedule'!E222</f>
        <v/>
      </c>
      <c r="C222" s="21" t="str">
        <f>IF(A222="","",EXP(-Inputs!$C$7*A222))</f>
        <v/>
      </c>
      <c r="D222" s="22" t="str">
        <f t="shared" si="1"/>
        <v/>
      </c>
      <c r="E222" s="22" t="str">
        <f>IF(A222="","",Inputs!$C$6*D222)</f>
        <v/>
      </c>
    </row>
    <row r="223">
      <c r="A223" s="18" t="str">
        <f>'Cashflow Schedule'!B223</f>
        <v/>
      </c>
      <c r="B223" s="18" t="str">
        <f>'Cashflow Schedule'!E223</f>
        <v/>
      </c>
      <c r="C223" s="21" t="str">
        <f>IF(A223="","",EXP(-Inputs!$C$7*A223))</f>
        <v/>
      </c>
      <c r="D223" s="22" t="str">
        <f t="shared" si="1"/>
        <v/>
      </c>
      <c r="E223" s="22" t="str">
        <f>IF(A223="","",Inputs!$C$6*D223)</f>
        <v/>
      </c>
    </row>
    <row r="224">
      <c r="A224" s="18" t="str">
        <f>'Cashflow Schedule'!B224</f>
        <v/>
      </c>
      <c r="B224" s="18" t="str">
        <f>'Cashflow Schedule'!E224</f>
        <v/>
      </c>
      <c r="C224" s="21" t="str">
        <f>IF(A224="","",EXP(-Inputs!$C$7*A224))</f>
        <v/>
      </c>
      <c r="D224" s="22" t="str">
        <f t="shared" si="1"/>
        <v/>
      </c>
      <c r="E224" s="22" t="str">
        <f>IF(A224="","",Inputs!$C$6*D224)</f>
        <v/>
      </c>
    </row>
    <row r="225">
      <c r="A225" s="18" t="str">
        <f>'Cashflow Schedule'!B225</f>
        <v/>
      </c>
      <c r="B225" s="18" t="str">
        <f>'Cashflow Schedule'!E225</f>
        <v/>
      </c>
      <c r="C225" s="21" t="str">
        <f>IF(A225="","",EXP(-Inputs!$C$7*A225))</f>
        <v/>
      </c>
      <c r="D225" s="22" t="str">
        <f t="shared" si="1"/>
        <v/>
      </c>
      <c r="E225" s="22" t="str">
        <f>IF(A225="","",Inputs!$C$6*D225)</f>
        <v/>
      </c>
    </row>
    <row r="226">
      <c r="A226" s="18" t="str">
        <f>'Cashflow Schedule'!B226</f>
        <v/>
      </c>
      <c r="B226" s="18" t="str">
        <f>'Cashflow Schedule'!E226</f>
        <v/>
      </c>
      <c r="C226" s="21" t="str">
        <f>IF(A226="","",EXP(-Inputs!$C$7*A226))</f>
        <v/>
      </c>
      <c r="D226" s="22" t="str">
        <f t="shared" si="1"/>
        <v/>
      </c>
      <c r="E226" s="22" t="str">
        <f>IF(A226="","",Inputs!$C$6*D226)</f>
        <v/>
      </c>
    </row>
    <row r="227">
      <c r="A227" s="18" t="str">
        <f>'Cashflow Schedule'!B227</f>
        <v/>
      </c>
      <c r="B227" s="18" t="str">
        <f>'Cashflow Schedule'!E227</f>
        <v/>
      </c>
      <c r="C227" s="21" t="str">
        <f>IF(A227="","",EXP(-Inputs!$C$7*A227))</f>
        <v/>
      </c>
      <c r="D227" s="22" t="str">
        <f t="shared" si="1"/>
        <v/>
      </c>
      <c r="E227" s="22" t="str">
        <f>IF(A227="","",Inputs!$C$6*D227)</f>
        <v/>
      </c>
    </row>
    <row r="228">
      <c r="A228" s="18" t="str">
        <f>'Cashflow Schedule'!B228</f>
        <v/>
      </c>
      <c r="B228" s="18" t="str">
        <f>'Cashflow Schedule'!E228</f>
        <v/>
      </c>
      <c r="C228" s="21" t="str">
        <f>IF(A228="","",EXP(-Inputs!$C$7*A228))</f>
        <v/>
      </c>
      <c r="D228" s="22" t="str">
        <f t="shared" si="1"/>
        <v/>
      </c>
      <c r="E228" s="22" t="str">
        <f>IF(A228="","",Inputs!$C$6*D228)</f>
        <v/>
      </c>
    </row>
    <row r="229">
      <c r="A229" s="18" t="str">
        <f>'Cashflow Schedule'!B229</f>
        <v/>
      </c>
      <c r="B229" s="18" t="str">
        <f>'Cashflow Schedule'!E229</f>
        <v/>
      </c>
      <c r="C229" s="21" t="str">
        <f>IF(A229="","",EXP(-Inputs!$C$7*A229))</f>
        <v/>
      </c>
      <c r="D229" s="22" t="str">
        <f t="shared" si="1"/>
        <v/>
      </c>
      <c r="E229" s="22" t="str">
        <f>IF(A229="","",Inputs!$C$6*D229)</f>
        <v/>
      </c>
    </row>
    <row r="230">
      <c r="A230" s="18" t="str">
        <f>'Cashflow Schedule'!B230</f>
        <v/>
      </c>
      <c r="B230" s="18" t="str">
        <f>'Cashflow Schedule'!E230</f>
        <v/>
      </c>
      <c r="C230" s="21" t="str">
        <f>IF(A230="","",EXP(-Inputs!$C$7*A230))</f>
        <v/>
      </c>
      <c r="D230" s="22" t="str">
        <f t="shared" si="1"/>
        <v/>
      </c>
      <c r="E230" s="22" t="str">
        <f>IF(A230="","",Inputs!$C$6*D230)</f>
        <v/>
      </c>
    </row>
    <row r="231">
      <c r="A231" s="18" t="str">
        <f>'Cashflow Schedule'!B231</f>
        <v/>
      </c>
      <c r="B231" s="18" t="str">
        <f>'Cashflow Schedule'!E231</f>
        <v/>
      </c>
      <c r="C231" s="21" t="str">
        <f>IF(A231="","",EXP(-Inputs!$C$7*A231))</f>
        <v/>
      </c>
      <c r="D231" s="22" t="str">
        <f t="shared" si="1"/>
        <v/>
      </c>
      <c r="E231" s="22" t="str">
        <f>IF(A231="","",Inputs!$C$6*D231)</f>
        <v/>
      </c>
    </row>
    <row r="232">
      <c r="A232" s="18" t="str">
        <f>'Cashflow Schedule'!B232</f>
        <v/>
      </c>
      <c r="B232" s="18" t="str">
        <f>'Cashflow Schedule'!E232</f>
        <v/>
      </c>
      <c r="C232" s="21" t="str">
        <f>IF(A232="","",EXP(-Inputs!$C$7*A232))</f>
        <v/>
      </c>
      <c r="D232" s="22" t="str">
        <f t="shared" si="1"/>
        <v/>
      </c>
      <c r="E232" s="22" t="str">
        <f>IF(A232="","",Inputs!$C$6*D232)</f>
        <v/>
      </c>
    </row>
    <row r="233">
      <c r="A233" s="18" t="str">
        <f>'Cashflow Schedule'!B233</f>
        <v/>
      </c>
      <c r="B233" s="18" t="str">
        <f>'Cashflow Schedule'!E233</f>
        <v/>
      </c>
      <c r="C233" s="21" t="str">
        <f>IF(A233="","",EXP(-Inputs!$C$7*A233))</f>
        <v/>
      </c>
      <c r="D233" s="22" t="str">
        <f t="shared" si="1"/>
        <v/>
      </c>
      <c r="E233" s="22" t="str">
        <f>IF(A233="","",Inputs!$C$6*D233)</f>
        <v/>
      </c>
    </row>
    <row r="234">
      <c r="A234" s="18" t="str">
        <f>'Cashflow Schedule'!B234</f>
        <v/>
      </c>
      <c r="B234" s="18" t="str">
        <f>'Cashflow Schedule'!E234</f>
        <v/>
      </c>
      <c r="C234" s="21" t="str">
        <f>IF(A234="","",EXP(-Inputs!$C$7*A234))</f>
        <v/>
      </c>
      <c r="D234" s="22" t="str">
        <f t="shared" si="1"/>
        <v/>
      </c>
      <c r="E234" s="22" t="str">
        <f>IF(A234="","",Inputs!$C$6*D234)</f>
        <v/>
      </c>
    </row>
    <row r="235">
      <c r="A235" s="18" t="str">
        <f>'Cashflow Schedule'!B235</f>
        <v/>
      </c>
      <c r="B235" s="18" t="str">
        <f>'Cashflow Schedule'!E235</f>
        <v/>
      </c>
      <c r="C235" s="21" t="str">
        <f>IF(A235="","",EXP(-Inputs!$C$7*A235))</f>
        <v/>
      </c>
      <c r="D235" s="22" t="str">
        <f t="shared" si="1"/>
        <v/>
      </c>
      <c r="E235" s="22" t="str">
        <f>IF(A235="","",Inputs!$C$6*D235)</f>
        <v/>
      </c>
    </row>
    <row r="236">
      <c r="A236" s="18" t="str">
        <f>'Cashflow Schedule'!B236</f>
        <v/>
      </c>
      <c r="B236" s="18" t="str">
        <f>'Cashflow Schedule'!E236</f>
        <v/>
      </c>
      <c r="C236" s="21" t="str">
        <f>IF(A236="","",EXP(-Inputs!$C$7*A236))</f>
        <v/>
      </c>
      <c r="D236" s="22" t="str">
        <f t="shared" si="1"/>
        <v/>
      </c>
      <c r="E236" s="22" t="str">
        <f>IF(A236="","",Inputs!$C$6*D236)</f>
        <v/>
      </c>
    </row>
    <row r="237">
      <c r="A237" s="18" t="str">
        <f>'Cashflow Schedule'!B237</f>
        <v/>
      </c>
      <c r="B237" s="18" t="str">
        <f>'Cashflow Schedule'!E237</f>
        <v/>
      </c>
      <c r="C237" s="21" t="str">
        <f>IF(A237="","",EXP(-Inputs!$C$7*A237))</f>
        <v/>
      </c>
      <c r="D237" s="22" t="str">
        <f t="shared" si="1"/>
        <v/>
      </c>
      <c r="E237" s="22" t="str">
        <f>IF(A237="","",Inputs!$C$6*D237)</f>
        <v/>
      </c>
    </row>
    <row r="238">
      <c r="A238" s="18" t="str">
        <f>'Cashflow Schedule'!B238</f>
        <v/>
      </c>
      <c r="B238" s="18" t="str">
        <f>'Cashflow Schedule'!E238</f>
        <v/>
      </c>
      <c r="C238" s="21" t="str">
        <f>IF(A238="","",EXP(-Inputs!$C$7*A238))</f>
        <v/>
      </c>
      <c r="D238" s="22" t="str">
        <f t="shared" si="1"/>
        <v/>
      </c>
      <c r="E238" s="22" t="str">
        <f>IF(A238="","",Inputs!$C$6*D238)</f>
        <v/>
      </c>
    </row>
    <row r="239">
      <c r="A239" s="18" t="str">
        <f>'Cashflow Schedule'!B239</f>
        <v/>
      </c>
      <c r="B239" s="18" t="str">
        <f>'Cashflow Schedule'!E239</f>
        <v/>
      </c>
      <c r="C239" s="21" t="str">
        <f>IF(A239="","",EXP(-Inputs!$C$7*A239))</f>
        <v/>
      </c>
      <c r="D239" s="22" t="str">
        <f t="shared" si="1"/>
        <v/>
      </c>
      <c r="E239" s="22" t="str">
        <f>IF(A239="","",Inputs!$C$6*D239)</f>
        <v/>
      </c>
    </row>
    <row r="240">
      <c r="A240" s="18" t="str">
        <f>'Cashflow Schedule'!B240</f>
        <v/>
      </c>
      <c r="B240" s="18" t="str">
        <f>'Cashflow Schedule'!E240</f>
        <v/>
      </c>
      <c r="C240" s="21" t="str">
        <f>IF(A240="","",EXP(-Inputs!$C$7*A240))</f>
        <v/>
      </c>
      <c r="D240" s="22" t="str">
        <f t="shared" si="1"/>
        <v/>
      </c>
      <c r="E240" s="22" t="str">
        <f>IF(A240="","",Inputs!$C$6*D240)</f>
        <v/>
      </c>
    </row>
    <row r="241">
      <c r="A241" s="18" t="str">
        <f>'Cashflow Schedule'!B241</f>
        <v/>
      </c>
      <c r="B241" s="18" t="str">
        <f>'Cashflow Schedule'!E241</f>
        <v/>
      </c>
      <c r="C241" s="21" t="str">
        <f>IF(A241="","",EXP(-Inputs!$C$7*A241))</f>
        <v/>
      </c>
      <c r="D241" s="22" t="str">
        <f t="shared" si="1"/>
        <v/>
      </c>
      <c r="E241" s="22" t="str">
        <f>IF(A241="","",Inputs!$C$6*D241)</f>
        <v/>
      </c>
    </row>
    <row r="242">
      <c r="A242" s="18" t="str">
        <f>'Cashflow Schedule'!B242</f>
        <v/>
      </c>
      <c r="B242" s="18" t="str">
        <f>'Cashflow Schedule'!E242</f>
        <v/>
      </c>
      <c r="C242" s="21" t="str">
        <f>IF(A242="","",EXP(-Inputs!$C$7*A242))</f>
        <v/>
      </c>
      <c r="D242" s="22" t="str">
        <f t="shared" si="1"/>
        <v/>
      </c>
      <c r="E242" s="22" t="str">
        <f>IF(A242="","",Inputs!$C$6*D242)</f>
        <v/>
      </c>
    </row>
    <row r="243">
      <c r="A243" s="18" t="str">
        <f>'Cashflow Schedule'!B243</f>
        <v/>
      </c>
      <c r="B243" s="18" t="str">
        <f>'Cashflow Schedule'!E243</f>
        <v/>
      </c>
      <c r="C243" s="21" t="str">
        <f>IF(A243="","",EXP(-Inputs!$C$7*A243))</f>
        <v/>
      </c>
      <c r="D243" s="22" t="str">
        <f t="shared" si="1"/>
        <v/>
      </c>
      <c r="E243" s="22" t="str">
        <f>IF(A243="","",Inputs!$C$6*D243)</f>
        <v/>
      </c>
    </row>
    <row r="244">
      <c r="A244" s="18" t="str">
        <f>'Cashflow Schedule'!B244</f>
        <v/>
      </c>
      <c r="B244" s="18" t="str">
        <f>'Cashflow Schedule'!E244</f>
        <v/>
      </c>
      <c r="C244" s="21" t="str">
        <f>IF(A244="","",EXP(-Inputs!$C$7*A244))</f>
        <v/>
      </c>
      <c r="D244" s="22" t="str">
        <f t="shared" si="1"/>
        <v/>
      </c>
      <c r="E244" s="22" t="str">
        <f>IF(A244="","",Inputs!$C$6*D244)</f>
        <v/>
      </c>
    </row>
    <row r="245">
      <c r="A245" s="18" t="str">
        <f>'Cashflow Schedule'!B245</f>
        <v/>
      </c>
      <c r="B245" s="18" t="str">
        <f>'Cashflow Schedule'!E245</f>
        <v/>
      </c>
      <c r="C245" s="21" t="str">
        <f>IF(A245="","",EXP(-Inputs!$C$7*A245))</f>
        <v/>
      </c>
      <c r="D245" s="22" t="str">
        <f t="shared" si="1"/>
        <v/>
      </c>
      <c r="E245" s="22" t="str">
        <f>IF(A245="","",Inputs!$C$6*D245)</f>
        <v/>
      </c>
    </row>
    <row r="246">
      <c r="A246" s="18" t="str">
        <f>'Cashflow Schedule'!B246</f>
        <v/>
      </c>
      <c r="B246" s="18" t="str">
        <f>'Cashflow Schedule'!E246</f>
        <v/>
      </c>
      <c r="C246" s="21" t="str">
        <f>IF(A246="","",EXP(-Inputs!$C$7*A246))</f>
        <v/>
      </c>
      <c r="D246" s="22" t="str">
        <f t="shared" si="1"/>
        <v/>
      </c>
      <c r="E246" s="22" t="str">
        <f>IF(A246="","",Inputs!$C$6*D246)</f>
        <v/>
      </c>
    </row>
    <row r="247">
      <c r="A247" s="18" t="str">
        <f>'Cashflow Schedule'!B247</f>
        <v/>
      </c>
      <c r="B247" s="18" t="str">
        <f>'Cashflow Schedule'!E247</f>
        <v/>
      </c>
      <c r="C247" s="21" t="str">
        <f>IF(A247="","",EXP(-Inputs!$C$7*A247))</f>
        <v/>
      </c>
      <c r="D247" s="22" t="str">
        <f t="shared" si="1"/>
        <v/>
      </c>
      <c r="E247" s="22" t="str">
        <f>IF(A247="","",Inputs!$C$6*D247)</f>
        <v/>
      </c>
    </row>
    <row r="248">
      <c r="A248" s="18" t="str">
        <f>'Cashflow Schedule'!B248</f>
        <v/>
      </c>
      <c r="B248" s="18" t="str">
        <f>'Cashflow Schedule'!E248</f>
        <v/>
      </c>
      <c r="C248" s="21" t="str">
        <f>IF(A248="","",EXP(-Inputs!$C$7*A248))</f>
        <v/>
      </c>
      <c r="D248" s="22" t="str">
        <f t="shared" si="1"/>
        <v/>
      </c>
      <c r="E248" s="22" t="str">
        <f>IF(A248="","",Inputs!$C$6*D248)</f>
        <v/>
      </c>
    </row>
    <row r="249">
      <c r="A249" s="18" t="str">
        <f>'Cashflow Schedule'!B249</f>
        <v/>
      </c>
      <c r="B249" s="18" t="str">
        <f>'Cashflow Schedule'!E249</f>
        <v/>
      </c>
      <c r="C249" s="21" t="str">
        <f>IF(A249="","",EXP(-Inputs!$C$7*A249))</f>
        <v/>
      </c>
      <c r="D249" s="22" t="str">
        <f t="shared" si="1"/>
        <v/>
      </c>
      <c r="E249" s="22" t="str">
        <f>IF(A249="","",Inputs!$C$6*D249)</f>
        <v/>
      </c>
    </row>
    <row r="250">
      <c r="A250" s="18" t="str">
        <f>'Cashflow Schedule'!B250</f>
        <v/>
      </c>
      <c r="B250" s="18" t="str">
        <f>'Cashflow Schedule'!E250</f>
        <v/>
      </c>
      <c r="C250" s="21" t="str">
        <f>IF(A250="","",EXP(-Inputs!$C$7*A250))</f>
        <v/>
      </c>
      <c r="D250" s="22" t="str">
        <f t="shared" si="1"/>
        <v/>
      </c>
      <c r="E250" s="22" t="str">
        <f>IF(A250="","",Inputs!$C$6*D250)</f>
        <v/>
      </c>
    </row>
    <row r="251">
      <c r="A251" s="18" t="str">
        <f>'Cashflow Schedule'!B251</f>
        <v/>
      </c>
      <c r="B251" s="18" t="str">
        <f>'Cashflow Schedule'!E251</f>
        <v/>
      </c>
      <c r="C251" s="21" t="str">
        <f>IF(A251="","",EXP(-Inputs!$C$7*A251))</f>
        <v/>
      </c>
      <c r="D251" s="22" t="str">
        <f t="shared" si="1"/>
        <v/>
      </c>
      <c r="E251" s="22" t="str">
        <f>IF(A251="","",Inputs!$C$6*D251)</f>
        <v/>
      </c>
    </row>
    <row r="252">
      <c r="A252" s="18" t="str">
        <f>'Cashflow Schedule'!B252</f>
        <v/>
      </c>
      <c r="B252" s="18" t="str">
        <f>'Cashflow Schedule'!E252</f>
        <v/>
      </c>
      <c r="C252" s="21" t="str">
        <f>IF(A252="","",EXP(-Inputs!$C$7*A252))</f>
        <v/>
      </c>
      <c r="D252" s="22" t="str">
        <f t="shared" si="1"/>
        <v/>
      </c>
      <c r="E252" s="22" t="str">
        <f>IF(A252="","",Inputs!$C$6*D252)</f>
        <v/>
      </c>
    </row>
    <row r="253">
      <c r="A253" s="18" t="str">
        <f>'Cashflow Schedule'!B253</f>
        <v/>
      </c>
      <c r="B253" s="18" t="str">
        <f>'Cashflow Schedule'!E253</f>
        <v/>
      </c>
      <c r="C253" s="21" t="str">
        <f>IF(A253="","",EXP(-Inputs!$C$7*A253))</f>
        <v/>
      </c>
      <c r="D253" s="22" t="str">
        <f t="shared" si="1"/>
        <v/>
      </c>
      <c r="E253" s="22" t="str">
        <f>IF(A253="","",Inputs!$C$6*D253)</f>
        <v/>
      </c>
    </row>
    <row r="254">
      <c r="A254" s="18" t="str">
        <f>'Cashflow Schedule'!B254</f>
        <v/>
      </c>
      <c r="B254" s="18" t="str">
        <f>'Cashflow Schedule'!E254</f>
        <v/>
      </c>
      <c r="C254" s="21" t="str">
        <f>IF(A254="","",EXP(-Inputs!$C$7*A254))</f>
        <v/>
      </c>
      <c r="D254" s="22" t="str">
        <f t="shared" si="1"/>
        <v/>
      </c>
      <c r="E254" s="22" t="str">
        <f>IF(A254="","",Inputs!$C$6*D254)</f>
        <v/>
      </c>
    </row>
    <row r="255">
      <c r="A255" s="18" t="str">
        <f>'Cashflow Schedule'!B255</f>
        <v/>
      </c>
      <c r="B255" s="18" t="str">
        <f>'Cashflow Schedule'!E255</f>
        <v/>
      </c>
      <c r="C255" s="21" t="str">
        <f>IF(A255="","",EXP(-Inputs!$C$7*A255))</f>
        <v/>
      </c>
      <c r="D255" s="22" t="str">
        <f t="shared" si="1"/>
        <v/>
      </c>
      <c r="E255" s="22" t="str">
        <f>IF(A255="","",Inputs!$C$6*D255)</f>
        <v/>
      </c>
    </row>
    <row r="256">
      <c r="A256" s="18" t="str">
        <f>'Cashflow Schedule'!B256</f>
        <v/>
      </c>
      <c r="B256" s="18" t="str">
        <f>'Cashflow Schedule'!E256</f>
        <v/>
      </c>
      <c r="C256" s="21" t="str">
        <f>IF(A256="","",EXP(-Inputs!$C$7*A256))</f>
        <v/>
      </c>
      <c r="D256" s="22" t="str">
        <f t="shared" si="1"/>
        <v/>
      </c>
      <c r="E256" s="22" t="str">
        <f>IF(A256="","",Inputs!$C$6*D256)</f>
        <v/>
      </c>
    </row>
    <row r="257">
      <c r="A257" s="18" t="str">
        <f>'Cashflow Schedule'!B257</f>
        <v/>
      </c>
      <c r="B257" s="18" t="str">
        <f>'Cashflow Schedule'!E257</f>
        <v/>
      </c>
      <c r="C257" s="21" t="str">
        <f>IF(A257="","",EXP(-Inputs!$C$7*A257))</f>
        <v/>
      </c>
      <c r="D257" s="22" t="str">
        <f t="shared" si="1"/>
        <v/>
      </c>
      <c r="E257" s="22" t="str">
        <f>IF(A257="","",Inputs!$C$6*D257)</f>
        <v/>
      </c>
    </row>
    <row r="258">
      <c r="A258" s="18" t="str">
        <f>'Cashflow Schedule'!B258</f>
        <v/>
      </c>
      <c r="B258" s="18" t="str">
        <f>'Cashflow Schedule'!E258</f>
        <v/>
      </c>
      <c r="C258" s="21" t="str">
        <f>IF(A258="","",EXP(-Inputs!$C$7*A258))</f>
        <v/>
      </c>
      <c r="D258" s="22" t="str">
        <f t="shared" si="1"/>
        <v/>
      </c>
      <c r="E258" s="22" t="str">
        <f>IF(A258="","",Inputs!$C$6*D258)</f>
        <v/>
      </c>
    </row>
    <row r="259">
      <c r="A259" s="18" t="str">
        <f>'Cashflow Schedule'!B259</f>
        <v/>
      </c>
      <c r="B259" s="18" t="str">
        <f>'Cashflow Schedule'!E259</f>
        <v/>
      </c>
      <c r="C259" s="21" t="str">
        <f>IF(A259="","",EXP(-Inputs!$C$7*A259))</f>
        <v/>
      </c>
      <c r="D259" s="22" t="str">
        <f t="shared" si="1"/>
        <v/>
      </c>
      <c r="E259" s="22" t="str">
        <f>IF(A259="","",Inputs!$C$6*D259)</f>
        <v/>
      </c>
    </row>
    <row r="260">
      <c r="A260" s="18" t="str">
        <f>'Cashflow Schedule'!B260</f>
        <v/>
      </c>
      <c r="B260" s="18" t="str">
        <f>'Cashflow Schedule'!E260</f>
        <v/>
      </c>
      <c r="C260" s="21" t="str">
        <f>IF(A260="","",EXP(-Inputs!$C$7*A260))</f>
        <v/>
      </c>
      <c r="D260" s="22" t="str">
        <f t="shared" si="1"/>
        <v/>
      </c>
      <c r="E260" s="22" t="str">
        <f>IF(A260="","",Inputs!$C$6*D260)</f>
        <v/>
      </c>
    </row>
    <row r="261">
      <c r="A261" s="18" t="str">
        <f>'Cashflow Schedule'!B261</f>
        <v/>
      </c>
      <c r="B261" s="18" t="str">
        <f>'Cashflow Schedule'!E261</f>
        <v/>
      </c>
      <c r="C261" s="21" t="str">
        <f>IF(A261="","",EXP(-Inputs!$C$7*A261))</f>
        <v/>
      </c>
      <c r="D261" s="22" t="str">
        <f t="shared" si="1"/>
        <v/>
      </c>
      <c r="E261" s="22" t="str">
        <f>IF(A261="","",Inputs!$C$6*D261)</f>
        <v/>
      </c>
    </row>
    <row r="262">
      <c r="A262" s="18" t="str">
        <f>'Cashflow Schedule'!B262</f>
        <v/>
      </c>
      <c r="B262" s="18" t="str">
        <f>'Cashflow Schedule'!E262</f>
        <v/>
      </c>
      <c r="C262" s="21" t="str">
        <f>IF(A262="","",EXP(-Inputs!$C$7*A262))</f>
        <v/>
      </c>
      <c r="D262" s="22" t="str">
        <f t="shared" si="1"/>
        <v/>
      </c>
      <c r="E262" s="22" t="str">
        <f>IF(A262="","",Inputs!$C$6*D262)</f>
        <v/>
      </c>
    </row>
    <row r="263">
      <c r="A263" s="18" t="str">
        <f>'Cashflow Schedule'!B263</f>
        <v/>
      </c>
      <c r="B263" s="18" t="str">
        <f>'Cashflow Schedule'!E263</f>
        <v/>
      </c>
      <c r="C263" s="21" t="str">
        <f>IF(A263="","",EXP(-Inputs!$C$7*A263))</f>
        <v/>
      </c>
      <c r="D263" s="22" t="str">
        <f t="shared" si="1"/>
        <v/>
      </c>
      <c r="E263" s="22" t="str">
        <f>IF(A263="","",Inputs!$C$6*D263)</f>
        <v/>
      </c>
    </row>
    <row r="264">
      <c r="A264" s="18" t="str">
        <f>'Cashflow Schedule'!B264</f>
        <v/>
      </c>
      <c r="B264" s="18" t="str">
        <f>'Cashflow Schedule'!E264</f>
        <v/>
      </c>
      <c r="C264" s="21" t="str">
        <f>IF(A264="","",EXP(-Inputs!$C$7*A264))</f>
        <v/>
      </c>
      <c r="D264" s="22" t="str">
        <f t="shared" si="1"/>
        <v/>
      </c>
      <c r="E264" s="22" t="str">
        <f>IF(A264="","",Inputs!$C$6*D264)</f>
        <v/>
      </c>
    </row>
    <row r="265">
      <c r="A265" s="18" t="str">
        <f>'Cashflow Schedule'!B265</f>
        <v/>
      </c>
      <c r="B265" s="18" t="str">
        <f>'Cashflow Schedule'!E265</f>
        <v/>
      </c>
      <c r="C265" s="21" t="str">
        <f>IF(A265="","",EXP(-Inputs!$C$7*A265))</f>
        <v/>
      </c>
      <c r="D265" s="22" t="str">
        <f t="shared" si="1"/>
        <v/>
      </c>
      <c r="E265" s="22" t="str">
        <f>IF(A265="","",Inputs!$C$6*D265)</f>
        <v/>
      </c>
    </row>
    <row r="266">
      <c r="A266" s="18" t="str">
        <f>'Cashflow Schedule'!B266</f>
        <v/>
      </c>
      <c r="B266" s="18" t="str">
        <f>'Cashflow Schedule'!E266</f>
        <v/>
      </c>
      <c r="C266" s="21" t="str">
        <f>IF(A266="","",EXP(-Inputs!$C$7*A266))</f>
        <v/>
      </c>
      <c r="D266" s="22" t="str">
        <f t="shared" si="1"/>
        <v/>
      </c>
      <c r="E266" s="22" t="str">
        <f>IF(A266="","",Inputs!$C$6*D266)</f>
        <v/>
      </c>
    </row>
    <row r="267">
      <c r="A267" s="18" t="str">
        <f>'Cashflow Schedule'!B267</f>
        <v/>
      </c>
      <c r="B267" s="18" t="str">
        <f>'Cashflow Schedule'!E267</f>
        <v/>
      </c>
      <c r="C267" s="21" t="str">
        <f>IF(A267="","",EXP(-Inputs!$C$7*A267))</f>
        <v/>
      </c>
      <c r="D267" s="22" t="str">
        <f t="shared" si="1"/>
        <v/>
      </c>
      <c r="E267" s="22" t="str">
        <f>IF(A267="","",Inputs!$C$6*D267)</f>
        <v/>
      </c>
    </row>
    <row r="268">
      <c r="A268" s="18" t="str">
        <f>'Cashflow Schedule'!B268</f>
        <v/>
      </c>
      <c r="B268" s="18" t="str">
        <f>'Cashflow Schedule'!E268</f>
        <v/>
      </c>
      <c r="C268" s="21" t="str">
        <f>IF(A268="","",EXP(-Inputs!$C$7*A268))</f>
        <v/>
      </c>
      <c r="D268" s="22" t="str">
        <f t="shared" si="1"/>
        <v/>
      </c>
      <c r="E268" s="22" t="str">
        <f>IF(A268="","",Inputs!$C$6*D268)</f>
        <v/>
      </c>
    </row>
    <row r="269">
      <c r="A269" s="18" t="str">
        <f>'Cashflow Schedule'!B269</f>
        <v/>
      </c>
      <c r="B269" s="18" t="str">
        <f>'Cashflow Schedule'!E269</f>
        <v/>
      </c>
      <c r="C269" s="21" t="str">
        <f>IF(A269="","",EXP(-Inputs!$C$7*A269))</f>
        <v/>
      </c>
      <c r="D269" s="22" t="str">
        <f t="shared" si="1"/>
        <v/>
      </c>
      <c r="E269" s="22" t="str">
        <f>IF(A269="","",Inputs!$C$6*D269)</f>
        <v/>
      </c>
    </row>
    <row r="270">
      <c r="A270" s="18" t="str">
        <f>'Cashflow Schedule'!B270</f>
        <v/>
      </c>
      <c r="B270" s="18" t="str">
        <f>'Cashflow Schedule'!E270</f>
        <v/>
      </c>
      <c r="C270" s="21" t="str">
        <f>IF(A270="","",EXP(-Inputs!$C$7*A270))</f>
        <v/>
      </c>
      <c r="D270" s="22" t="str">
        <f t="shared" si="1"/>
        <v/>
      </c>
      <c r="E270" s="22" t="str">
        <f>IF(A270="","",Inputs!$C$6*D270)</f>
        <v/>
      </c>
    </row>
    <row r="271">
      <c r="A271" s="18" t="str">
        <f>'Cashflow Schedule'!B271</f>
        <v/>
      </c>
      <c r="B271" s="18" t="str">
        <f>'Cashflow Schedule'!E271</f>
        <v/>
      </c>
      <c r="C271" s="21" t="str">
        <f>IF(A271="","",EXP(-Inputs!$C$7*A271))</f>
        <v/>
      </c>
      <c r="D271" s="22" t="str">
        <f t="shared" si="1"/>
        <v/>
      </c>
      <c r="E271" s="22" t="str">
        <f>IF(A271="","",Inputs!$C$6*D271)</f>
        <v/>
      </c>
    </row>
    <row r="272">
      <c r="A272" s="18" t="str">
        <f>'Cashflow Schedule'!B272</f>
        <v/>
      </c>
      <c r="B272" s="18" t="str">
        <f>'Cashflow Schedule'!E272</f>
        <v/>
      </c>
      <c r="C272" s="21" t="str">
        <f>IF(A272="","",EXP(-Inputs!$C$7*A272))</f>
        <v/>
      </c>
      <c r="D272" s="22" t="str">
        <f t="shared" si="1"/>
        <v/>
      </c>
      <c r="E272" s="22" t="str">
        <f>IF(A272="","",Inputs!$C$6*D272)</f>
        <v/>
      </c>
    </row>
    <row r="273">
      <c r="A273" s="18" t="str">
        <f>'Cashflow Schedule'!B273</f>
        <v/>
      </c>
      <c r="B273" s="18" t="str">
        <f>'Cashflow Schedule'!E273</f>
        <v/>
      </c>
      <c r="C273" s="21" t="str">
        <f>IF(A273="","",EXP(-Inputs!$C$7*A273))</f>
        <v/>
      </c>
      <c r="D273" s="22" t="str">
        <f t="shared" si="1"/>
        <v/>
      </c>
      <c r="E273" s="22" t="str">
        <f>IF(A273="","",Inputs!$C$6*D273)</f>
        <v/>
      </c>
    </row>
    <row r="274">
      <c r="A274" s="18" t="str">
        <f>'Cashflow Schedule'!B274</f>
        <v/>
      </c>
      <c r="B274" s="18" t="str">
        <f>'Cashflow Schedule'!E274</f>
        <v/>
      </c>
      <c r="C274" s="21" t="str">
        <f>IF(A274="","",EXP(-Inputs!$C$7*A274))</f>
        <v/>
      </c>
      <c r="D274" s="22" t="str">
        <f t="shared" si="1"/>
        <v/>
      </c>
      <c r="E274" s="22" t="str">
        <f>IF(A274="","",Inputs!$C$6*D274)</f>
        <v/>
      </c>
    </row>
    <row r="275">
      <c r="A275" s="18" t="str">
        <f>'Cashflow Schedule'!B275</f>
        <v/>
      </c>
      <c r="B275" s="18" t="str">
        <f>'Cashflow Schedule'!E275</f>
        <v/>
      </c>
      <c r="C275" s="21" t="str">
        <f>IF(A275="","",EXP(-Inputs!$C$7*A275))</f>
        <v/>
      </c>
      <c r="D275" s="22" t="str">
        <f t="shared" si="1"/>
        <v/>
      </c>
      <c r="E275" s="22" t="str">
        <f>IF(A275="","",Inputs!$C$6*D275)</f>
        <v/>
      </c>
    </row>
    <row r="276">
      <c r="A276" s="18" t="str">
        <f>'Cashflow Schedule'!B276</f>
        <v/>
      </c>
      <c r="B276" s="18" t="str">
        <f>'Cashflow Schedule'!E276</f>
        <v/>
      </c>
      <c r="C276" s="21" t="str">
        <f>IF(A276="","",EXP(-Inputs!$C$7*A276))</f>
        <v/>
      </c>
      <c r="D276" s="22" t="str">
        <f t="shared" si="1"/>
        <v/>
      </c>
      <c r="E276" s="22" t="str">
        <f>IF(A276="","",Inputs!$C$6*D276)</f>
        <v/>
      </c>
    </row>
    <row r="277">
      <c r="A277" s="18" t="str">
        <f>'Cashflow Schedule'!B277</f>
        <v/>
      </c>
      <c r="B277" s="18" t="str">
        <f>'Cashflow Schedule'!E277</f>
        <v/>
      </c>
      <c r="C277" s="21" t="str">
        <f>IF(A277="","",EXP(-Inputs!$C$7*A277))</f>
        <v/>
      </c>
      <c r="D277" s="22" t="str">
        <f t="shared" si="1"/>
        <v/>
      </c>
      <c r="E277" s="22" t="str">
        <f>IF(A277="","",Inputs!$C$6*D277)</f>
        <v/>
      </c>
    </row>
    <row r="278">
      <c r="A278" s="18" t="str">
        <f>'Cashflow Schedule'!B278</f>
        <v/>
      </c>
      <c r="B278" s="18" t="str">
        <f>'Cashflow Schedule'!E278</f>
        <v/>
      </c>
      <c r="C278" s="21" t="str">
        <f>IF(A278="","",EXP(-Inputs!$C$7*A278))</f>
        <v/>
      </c>
      <c r="D278" s="22" t="str">
        <f t="shared" si="1"/>
        <v/>
      </c>
      <c r="E278" s="22" t="str">
        <f>IF(A278="","",Inputs!$C$6*D278)</f>
        <v/>
      </c>
    </row>
    <row r="279">
      <c r="A279" s="18" t="str">
        <f>'Cashflow Schedule'!B279</f>
        <v/>
      </c>
      <c r="B279" s="18" t="str">
        <f>'Cashflow Schedule'!E279</f>
        <v/>
      </c>
      <c r="C279" s="21" t="str">
        <f>IF(A279="","",EXP(-Inputs!$C$7*A279))</f>
        <v/>
      </c>
      <c r="D279" s="22" t="str">
        <f t="shared" si="1"/>
        <v/>
      </c>
      <c r="E279" s="22" t="str">
        <f>IF(A279="","",Inputs!$C$6*D279)</f>
        <v/>
      </c>
    </row>
    <row r="280">
      <c r="A280" s="18" t="str">
        <f>'Cashflow Schedule'!B280</f>
        <v/>
      </c>
      <c r="B280" s="18" t="str">
        <f>'Cashflow Schedule'!E280</f>
        <v/>
      </c>
      <c r="C280" s="21" t="str">
        <f>IF(A280="","",EXP(-Inputs!$C$7*A280))</f>
        <v/>
      </c>
      <c r="D280" s="22" t="str">
        <f t="shared" si="1"/>
        <v/>
      </c>
      <c r="E280" s="22" t="str">
        <f>IF(A280="","",Inputs!$C$6*D280)</f>
        <v/>
      </c>
    </row>
    <row r="281">
      <c r="A281" s="18" t="str">
        <f>'Cashflow Schedule'!B281</f>
        <v/>
      </c>
      <c r="B281" s="18" t="str">
        <f>'Cashflow Schedule'!E281</f>
        <v/>
      </c>
      <c r="C281" s="21" t="str">
        <f>IF(A281="","",EXP(-Inputs!$C$7*A281))</f>
        <v/>
      </c>
      <c r="D281" s="22" t="str">
        <f t="shared" si="1"/>
        <v/>
      </c>
      <c r="E281" s="22" t="str">
        <f>IF(A281="","",Inputs!$C$6*D281)</f>
        <v/>
      </c>
    </row>
    <row r="282">
      <c r="A282" s="18" t="str">
        <f>'Cashflow Schedule'!B282</f>
        <v/>
      </c>
      <c r="B282" s="18" t="str">
        <f>'Cashflow Schedule'!E282</f>
        <v/>
      </c>
      <c r="C282" s="21" t="str">
        <f>IF(A282="","",EXP(-Inputs!$C$7*A282))</f>
        <v/>
      </c>
      <c r="D282" s="22" t="str">
        <f t="shared" si="1"/>
        <v/>
      </c>
      <c r="E282" s="22" t="str">
        <f>IF(A282="","",Inputs!$C$6*D282)</f>
        <v/>
      </c>
    </row>
    <row r="283">
      <c r="A283" s="18" t="str">
        <f>'Cashflow Schedule'!B283</f>
        <v/>
      </c>
      <c r="B283" s="18" t="str">
        <f>'Cashflow Schedule'!E283</f>
        <v/>
      </c>
      <c r="C283" s="21" t="str">
        <f>IF(A283="","",EXP(-Inputs!$C$7*A283))</f>
        <v/>
      </c>
      <c r="D283" s="22" t="str">
        <f t="shared" si="1"/>
        <v/>
      </c>
      <c r="E283" s="22" t="str">
        <f>IF(A283="","",Inputs!$C$6*D283)</f>
        <v/>
      </c>
    </row>
    <row r="284">
      <c r="A284" s="18" t="str">
        <f>'Cashflow Schedule'!B284</f>
        <v/>
      </c>
      <c r="B284" s="18" t="str">
        <f>'Cashflow Schedule'!E284</f>
        <v/>
      </c>
      <c r="C284" s="21" t="str">
        <f>IF(A284="","",EXP(-Inputs!$C$7*A284))</f>
        <v/>
      </c>
      <c r="D284" s="22" t="str">
        <f t="shared" si="1"/>
        <v/>
      </c>
      <c r="E284" s="22" t="str">
        <f>IF(A284="","",Inputs!$C$6*D284)</f>
        <v/>
      </c>
    </row>
    <row r="285">
      <c r="A285" s="18" t="str">
        <f>'Cashflow Schedule'!B285</f>
        <v/>
      </c>
      <c r="B285" s="18" t="str">
        <f>'Cashflow Schedule'!E285</f>
        <v/>
      </c>
      <c r="C285" s="21" t="str">
        <f>IF(A285="","",EXP(-Inputs!$C$7*A285))</f>
        <v/>
      </c>
      <c r="D285" s="22" t="str">
        <f t="shared" si="1"/>
        <v/>
      </c>
      <c r="E285" s="22" t="str">
        <f>IF(A285="","",Inputs!$C$6*D285)</f>
        <v/>
      </c>
    </row>
    <row r="286">
      <c r="A286" s="18" t="str">
        <f>'Cashflow Schedule'!B286</f>
        <v/>
      </c>
      <c r="B286" s="18" t="str">
        <f>'Cashflow Schedule'!E286</f>
        <v/>
      </c>
      <c r="C286" s="21" t="str">
        <f>IF(A286="","",EXP(-Inputs!$C$7*A286))</f>
        <v/>
      </c>
      <c r="D286" s="22" t="str">
        <f t="shared" si="1"/>
        <v/>
      </c>
      <c r="E286" s="22" t="str">
        <f>IF(A286="","",Inputs!$C$6*D286)</f>
        <v/>
      </c>
    </row>
    <row r="287">
      <c r="A287" s="18" t="str">
        <f>'Cashflow Schedule'!B287</f>
        <v/>
      </c>
      <c r="B287" s="18" t="str">
        <f>'Cashflow Schedule'!E287</f>
        <v/>
      </c>
      <c r="C287" s="21" t="str">
        <f>IF(A287="","",EXP(-Inputs!$C$7*A287))</f>
        <v/>
      </c>
      <c r="D287" s="22" t="str">
        <f t="shared" si="1"/>
        <v/>
      </c>
      <c r="E287" s="22" t="str">
        <f>IF(A287="","",Inputs!$C$6*D287)</f>
        <v/>
      </c>
    </row>
    <row r="288">
      <c r="A288" s="18" t="str">
        <f>'Cashflow Schedule'!B288</f>
        <v/>
      </c>
      <c r="B288" s="18" t="str">
        <f>'Cashflow Schedule'!E288</f>
        <v/>
      </c>
      <c r="C288" s="21" t="str">
        <f>IF(A288="","",EXP(-Inputs!$C$7*A288))</f>
        <v/>
      </c>
      <c r="D288" s="22" t="str">
        <f t="shared" si="1"/>
        <v/>
      </c>
      <c r="E288" s="22" t="str">
        <f>IF(A288="","",Inputs!$C$6*D288)</f>
        <v/>
      </c>
    </row>
    <row r="289">
      <c r="A289" s="18" t="str">
        <f>'Cashflow Schedule'!B289</f>
        <v/>
      </c>
      <c r="B289" s="18" t="str">
        <f>'Cashflow Schedule'!E289</f>
        <v/>
      </c>
      <c r="C289" s="21" t="str">
        <f>IF(A289="","",EXP(-Inputs!$C$7*A289))</f>
        <v/>
      </c>
      <c r="D289" s="22" t="str">
        <f t="shared" si="1"/>
        <v/>
      </c>
      <c r="E289" s="22" t="str">
        <f>IF(A289="","",Inputs!$C$6*D289)</f>
        <v/>
      </c>
    </row>
    <row r="290">
      <c r="A290" s="18" t="str">
        <f>'Cashflow Schedule'!B290</f>
        <v/>
      </c>
      <c r="B290" s="18" t="str">
        <f>'Cashflow Schedule'!E290</f>
        <v/>
      </c>
      <c r="C290" s="21" t="str">
        <f>IF(A290="","",EXP(-Inputs!$C$7*A290))</f>
        <v/>
      </c>
      <c r="D290" s="22" t="str">
        <f t="shared" si="1"/>
        <v/>
      </c>
      <c r="E290" s="22" t="str">
        <f>IF(A290="","",Inputs!$C$6*D290)</f>
        <v/>
      </c>
    </row>
    <row r="291">
      <c r="A291" s="18" t="str">
        <f>'Cashflow Schedule'!B291</f>
        <v/>
      </c>
      <c r="B291" s="18" t="str">
        <f>'Cashflow Schedule'!E291</f>
        <v/>
      </c>
      <c r="C291" s="21" t="str">
        <f>IF(A291="","",EXP(-Inputs!$C$7*A291))</f>
        <v/>
      </c>
      <c r="D291" s="22" t="str">
        <f t="shared" si="1"/>
        <v/>
      </c>
      <c r="E291" s="22" t="str">
        <f>IF(A291="","",Inputs!$C$6*D291)</f>
        <v/>
      </c>
    </row>
    <row r="292">
      <c r="A292" s="18" t="str">
        <f>'Cashflow Schedule'!B292</f>
        <v/>
      </c>
      <c r="B292" s="18" t="str">
        <f>'Cashflow Schedule'!E292</f>
        <v/>
      </c>
      <c r="C292" s="21" t="str">
        <f>IF(A292="","",EXP(-Inputs!$C$7*A292))</f>
        <v/>
      </c>
      <c r="D292" s="22" t="str">
        <f t="shared" si="1"/>
        <v/>
      </c>
      <c r="E292" s="22" t="str">
        <f>IF(A292="","",Inputs!$C$6*D292)</f>
        <v/>
      </c>
    </row>
    <row r="293">
      <c r="A293" s="18" t="str">
        <f>'Cashflow Schedule'!B293</f>
        <v/>
      </c>
      <c r="B293" s="18" t="str">
        <f>'Cashflow Schedule'!E293</f>
        <v/>
      </c>
      <c r="C293" s="21" t="str">
        <f>IF(A293="","",EXP(-Inputs!$C$7*A293))</f>
        <v/>
      </c>
      <c r="D293" s="22" t="str">
        <f t="shared" si="1"/>
        <v/>
      </c>
      <c r="E293" s="22" t="str">
        <f>IF(A293="","",Inputs!$C$6*D293)</f>
        <v/>
      </c>
    </row>
    <row r="294">
      <c r="A294" s="18" t="str">
        <f>'Cashflow Schedule'!B294</f>
        <v/>
      </c>
      <c r="B294" s="18" t="str">
        <f>'Cashflow Schedule'!E294</f>
        <v/>
      </c>
      <c r="C294" s="21" t="str">
        <f>IF(A294="","",EXP(-Inputs!$C$7*A294))</f>
        <v/>
      </c>
      <c r="D294" s="22" t="str">
        <f t="shared" si="1"/>
        <v/>
      </c>
      <c r="E294" s="22" t="str">
        <f>IF(A294="","",Inputs!$C$6*D294)</f>
        <v/>
      </c>
    </row>
    <row r="295">
      <c r="A295" s="18" t="str">
        <f>'Cashflow Schedule'!B295</f>
        <v/>
      </c>
      <c r="B295" s="18" t="str">
        <f>'Cashflow Schedule'!E295</f>
        <v/>
      </c>
      <c r="C295" s="21" t="str">
        <f>IF(A295="","",EXP(-Inputs!$C$7*A295))</f>
        <v/>
      </c>
      <c r="D295" s="22" t="str">
        <f t="shared" si="1"/>
        <v/>
      </c>
      <c r="E295" s="22" t="str">
        <f>IF(A295="","",Inputs!$C$6*D295)</f>
        <v/>
      </c>
    </row>
    <row r="296">
      <c r="A296" s="18" t="str">
        <f>'Cashflow Schedule'!B296</f>
        <v/>
      </c>
      <c r="B296" s="18" t="str">
        <f>'Cashflow Schedule'!E296</f>
        <v/>
      </c>
      <c r="C296" s="21" t="str">
        <f>IF(A296="","",EXP(-Inputs!$C$7*A296))</f>
        <v/>
      </c>
      <c r="D296" s="22" t="str">
        <f t="shared" si="1"/>
        <v/>
      </c>
      <c r="E296" s="22" t="str">
        <f>IF(A296="","",Inputs!$C$6*D296)</f>
        <v/>
      </c>
    </row>
    <row r="297">
      <c r="A297" s="18" t="str">
        <f>'Cashflow Schedule'!B297</f>
        <v/>
      </c>
      <c r="B297" s="18" t="str">
        <f>'Cashflow Schedule'!E297</f>
        <v/>
      </c>
      <c r="C297" s="21" t="str">
        <f>IF(A297="","",EXP(-Inputs!$C$7*A297))</f>
        <v/>
      </c>
      <c r="D297" s="22" t="str">
        <f t="shared" si="1"/>
        <v/>
      </c>
      <c r="E297" s="22" t="str">
        <f>IF(A297="","",Inputs!$C$6*D297)</f>
        <v/>
      </c>
    </row>
    <row r="298">
      <c r="A298" s="18" t="str">
        <f>'Cashflow Schedule'!B298</f>
        <v/>
      </c>
      <c r="B298" s="18" t="str">
        <f>'Cashflow Schedule'!E298</f>
        <v/>
      </c>
      <c r="C298" s="21" t="str">
        <f>IF(A298="","",EXP(-Inputs!$C$7*A298))</f>
        <v/>
      </c>
      <c r="D298" s="22" t="str">
        <f t="shared" si="1"/>
        <v/>
      </c>
      <c r="E298" s="22" t="str">
        <f>IF(A298="","",Inputs!$C$6*D298)</f>
        <v/>
      </c>
    </row>
    <row r="299">
      <c r="A299" s="18" t="str">
        <f>'Cashflow Schedule'!B299</f>
        <v/>
      </c>
      <c r="B299" s="18" t="str">
        <f>'Cashflow Schedule'!E299</f>
        <v/>
      </c>
      <c r="C299" s="21" t="str">
        <f>IF(A299="","",EXP(-Inputs!$C$7*A299))</f>
        <v/>
      </c>
      <c r="D299" s="22" t="str">
        <f t="shared" si="1"/>
        <v/>
      </c>
      <c r="E299" s="22" t="str">
        <f>IF(A299="","",Inputs!$C$6*D299)</f>
        <v/>
      </c>
    </row>
    <row r="300">
      <c r="A300" s="18" t="str">
        <f>'Cashflow Schedule'!B300</f>
        <v/>
      </c>
      <c r="B300" s="18" t="str">
        <f>'Cashflow Schedule'!E300</f>
        <v/>
      </c>
      <c r="C300" s="21" t="str">
        <f>IF(A300="","",EXP(-Inputs!$C$7*A300))</f>
        <v/>
      </c>
      <c r="D300" s="22" t="str">
        <f t="shared" si="1"/>
        <v/>
      </c>
      <c r="E300" s="22" t="str">
        <f>IF(A300="","",Inputs!$C$6*D300)</f>
        <v/>
      </c>
    </row>
    <row r="301">
      <c r="A301" s="18" t="str">
        <f>'Cashflow Schedule'!B301</f>
        <v/>
      </c>
      <c r="B301" s="18" t="str">
        <f>'Cashflow Schedule'!E301</f>
        <v/>
      </c>
      <c r="C301" s="21" t="str">
        <f>IF(A301="","",EXP(-Inputs!$C$7*A301))</f>
        <v/>
      </c>
      <c r="D301" s="22" t="str">
        <f t="shared" si="1"/>
        <v/>
      </c>
      <c r="E301" s="22" t="str">
        <f>IF(A301="","",Inputs!$C$6*D301)</f>
        <v/>
      </c>
    </row>
    <row r="302">
      <c r="A302" s="18" t="str">
        <f>'Cashflow Schedule'!B302</f>
        <v/>
      </c>
      <c r="B302" s="18" t="str">
        <f>'Cashflow Schedule'!E302</f>
        <v/>
      </c>
      <c r="C302" s="21" t="str">
        <f>IF(A302="","",EXP(-Inputs!$C$7*A302))</f>
        <v/>
      </c>
      <c r="D302" s="22" t="str">
        <f t="shared" si="1"/>
        <v/>
      </c>
      <c r="E302" s="22" t="str">
        <f>IF(A302="","",Inputs!$C$6*D302)</f>
        <v/>
      </c>
    </row>
    <row r="303">
      <c r="A303" s="18" t="str">
        <f>'Cashflow Schedule'!B303</f>
        <v/>
      </c>
      <c r="B303" s="18" t="str">
        <f>'Cashflow Schedule'!E303</f>
        <v/>
      </c>
      <c r="C303" s="21" t="str">
        <f>IF(A303="","",EXP(-Inputs!$C$7*A303))</f>
        <v/>
      </c>
      <c r="D303" s="22" t="str">
        <f t="shared" si="1"/>
        <v/>
      </c>
      <c r="E303" s="22" t="str">
        <f>IF(A303="","",Inputs!$C$6*D303)</f>
        <v/>
      </c>
    </row>
    <row r="304">
      <c r="A304" s="18" t="str">
        <f>'Cashflow Schedule'!B304</f>
        <v/>
      </c>
      <c r="B304" s="18" t="str">
        <f>'Cashflow Schedule'!E304</f>
        <v/>
      </c>
      <c r="C304" s="21" t="str">
        <f>IF(A304="","",EXP(-Inputs!$C$7*A304))</f>
        <v/>
      </c>
      <c r="D304" s="22" t="str">
        <f t="shared" si="1"/>
        <v/>
      </c>
      <c r="E304" s="22" t="str">
        <f>IF(A304="","",Inputs!$C$6*D304)</f>
        <v/>
      </c>
    </row>
    <row r="305">
      <c r="A305" s="18" t="str">
        <f>'Cashflow Schedule'!B305</f>
        <v/>
      </c>
      <c r="B305" s="18" t="str">
        <f>'Cashflow Schedule'!E305</f>
        <v/>
      </c>
      <c r="C305" s="21" t="str">
        <f>IF(A305="","",EXP(-Inputs!$C$7*A305))</f>
        <v/>
      </c>
      <c r="D305" s="22" t="str">
        <f t="shared" si="1"/>
        <v/>
      </c>
      <c r="E305" s="22" t="str">
        <f>IF(A305="","",Inputs!$C$6*D305)</f>
        <v/>
      </c>
    </row>
    <row r="306">
      <c r="A306" s="18" t="str">
        <f>'Cashflow Schedule'!B306</f>
        <v/>
      </c>
      <c r="B306" s="18" t="str">
        <f>'Cashflow Schedule'!E306</f>
        <v/>
      </c>
      <c r="C306" s="21" t="str">
        <f>IF(A306="","",EXP(-Inputs!$C$7*A306))</f>
        <v/>
      </c>
      <c r="D306" s="22" t="str">
        <f t="shared" si="1"/>
        <v/>
      </c>
      <c r="E306" s="22" t="str">
        <f>IF(A306="","",Inputs!$C$6*D306)</f>
        <v/>
      </c>
    </row>
    <row r="307">
      <c r="A307" s="18" t="str">
        <f>'Cashflow Schedule'!B307</f>
        <v/>
      </c>
      <c r="B307" s="18" t="str">
        <f>'Cashflow Schedule'!E307</f>
        <v/>
      </c>
      <c r="C307" s="21" t="str">
        <f>IF(A307="","",EXP(-Inputs!$C$7*A307))</f>
        <v/>
      </c>
      <c r="D307" s="22" t="str">
        <f t="shared" si="1"/>
        <v/>
      </c>
      <c r="E307" s="22" t="str">
        <f>IF(A307="","",Inputs!$C$6*D307)</f>
        <v/>
      </c>
    </row>
    <row r="308">
      <c r="A308" s="18" t="str">
        <f>'Cashflow Schedule'!B308</f>
        <v/>
      </c>
      <c r="B308" s="18" t="str">
        <f>'Cashflow Schedule'!E308</f>
        <v/>
      </c>
      <c r="C308" s="21" t="str">
        <f>IF(A308="","",EXP(-Inputs!$C$7*A308))</f>
        <v/>
      </c>
      <c r="D308" s="22" t="str">
        <f t="shared" si="1"/>
        <v/>
      </c>
      <c r="E308" s="22" t="str">
        <f>IF(A308="","",Inputs!$C$6*D308)</f>
        <v/>
      </c>
    </row>
    <row r="309">
      <c r="A309" s="18" t="str">
        <f>'Cashflow Schedule'!B309</f>
        <v/>
      </c>
      <c r="B309" s="18" t="str">
        <f>'Cashflow Schedule'!E309</f>
        <v/>
      </c>
      <c r="C309" s="21" t="str">
        <f>IF(A309="","",EXP(-Inputs!$C$7*A309))</f>
        <v/>
      </c>
      <c r="D309" s="22" t="str">
        <f t="shared" si="1"/>
        <v/>
      </c>
      <c r="E309" s="22" t="str">
        <f>IF(A309="","",Inputs!$C$6*D309)</f>
        <v/>
      </c>
    </row>
    <row r="310">
      <c r="A310" s="18" t="str">
        <f>'Cashflow Schedule'!B310</f>
        <v/>
      </c>
      <c r="B310" s="18" t="str">
        <f>'Cashflow Schedule'!E310</f>
        <v/>
      </c>
      <c r="C310" s="21" t="str">
        <f>IF(A310="","",EXP(-Inputs!$C$7*A310))</f>
        <v/>
      </c>
      <c r="D310" s="22" t="str">
        <f t="shared" si="1"/>
        <v/>
      </c>
      <c r="E310" s="22" t="str">
        <f>IF(A310="","",Inputs!$C$6*D310)</f>
        <v/>
      </c>
    </row>
    <row r="311">
      <c r="A311" s="18" t="str">
        <f>'Cashflow Schedule'!B311</f>
        <v/>
      </c>
      <c r="B311" s="18" t="str">
        <f>'Cashflow Schedule'!E311</f>
        <v/>
      </c>
      <c r="C311" s="21" t="str">
        <f>IF(A311="","",EXP(-Inputs!$C$7*A311))</f>
        <v/>
      </c>
      <c r="D311" s="22" t="str">
        <f t="shared" si="1"/>
        <v/>
      </c>
      <c r="E311" s="22" t="str">
        <f>IF(A311="","",Inputs!$C$6*D311)</f>
        <v/>
      </c>
    </row>
    <row r="312">
      <c r="A312" s="18" t="str">
        <f>'Cashflow Schedule'!B312</f>
        <v/>
      </c>
      <c r="B312" s="18" t="str">
        <f>'Cashflow Schedule'!E312</f>
        <v/>
      </c>
      <c r="C312" s="21" t="str">
        <f>IF(A312="","",EXP(-Inputs!$C$7*A312))</f>
        <v/>
      </c>
      <c r="D312" s="22" t="str">
        <f t="shared" si="1"/>
        <v/>
      </c>
      <c r="E312" s="22" t="str">
        <f>IF(A312="","",Inputs!$C$6*D312)</f>
        <v/>
      </c>
    </row>
    <row r="313">
      <c r="A313" s="18" t="str">
        <f>'Cashflow Schedule'!B313</f>
        <v/>
      </c>
      <c r="B313" s="18" t="str">
        <f>'Cashflow Schedule'!E313</f>
        <v/>
      </c>
      <c r="C313" s="21" t="str">
        <f>IF(A313="","",EXP(-Inputs!$C$7*A313))</f>
        <v/>
      </c>
      <c r="D313" s="22" t="str">
        <f t="shared" si="1"/>
        <v/>
      </c>
      <c r="E313" s="22" t="str">
        <f>IF(A313="","",Inputs!$C$6*D313)</f>
        <v/>
      </c>
    </row>
    <row r="314">
      <c r="A314" s="18" t="str">
        <f>'Cashflow Schedule'!B314</f>
        <v/>
      </c>
      <c r="B314" s="18" t="str">
        <f>'Cashflow Schedule'!E314</f>
        <v/>
      </c>
      <c r="C314" s="21" t="str">
        <f>IF(A314="","",EXP(-Inputs!$C$7*A314))</f>
        <v/>
      </c>
      <c r="D314" s="22" t="str">
        <f t="shared" si="1"/>
        <v/>
      </c>
      <c r="E314" s="22" t="str">
        <f>IF(A314="","",Inputs!$C$6*D314)</f>
        <v/>
      </c>
    </row>
    <row r="315">
      <c r="A315" s="18" t="str">
        <f>'Cashflow Schedule'!B315</f>
        <v/>
      </c>
      <c r="B315" s="18" t="str">
        <f>'Cashflow Schedule'!E315</f>
        <v/>
      </c>
      <c r="C315" s="21" t="str">
        <f>IF(A315="","",EXP(-Inputs!$C$7*A315))</f>
        <v/>
      </c>
      <c r="D315" s="22" t="str">
        <f t="shared" si="1"/>
        <v/>
      </c>
      <c r="E315" s="22" t="str">
        <f>IF(A315="","",Inputs!$C$6*D315)</f>
        <v/>
      </c>
    </row>
    <row r="316">
      <c r="A316" s="18" t="str">
        <f>'Cashflow Schedule'!B316</f>
        <v/>
      </c>
      <c r="B316" s="18" t="str">
        <f>'Cashflow Schedule'!E316</f>
        <v/>
      </c>
      <c r="C316" s="21" t="str">
        <f>IF(A316="","",EXP(-Inputs!$C$7*A316))</f>
        <v/>
      </c>
      <c r="D316" s="22" t="str">
        <f t="shared" si="1"/>
        <v/>
      </c>
      <c r="E316" s="22" t="str">
        <f>IF(A316="","",Inputs!$C$6*D316)</f>
        <v/>
      </c>
    </row>
    <row r="317">
      <c r="A317" s="18" t="str">
        <f>'Cashflow Schedule'!B317</f>
        <v/>
      </c>
      <c r="B317" s="18" t="str">
        <f>'Cashflow Schedule'!E317</f>
        <v/>
      </c>
      <c r="C317" s="21" t="str">
        <f>IF(A317="","",EXP(-Inputs!$C$7*A317))</f>
        <v/>
      </c>
      <c r="D317" s="22" t="str">
        <f t="shared" si="1"/>
        <v/>
      </c>
      <c r="E317" s="22" t="str">
        <f>IF(A317="","",Inputs!$C$6*D317)</f>
        <v/>
      </c>
    </row>
    <row r="318">
      <c r="A318" s="18" t="str">
        <f>'Cashflow Schedule'!B318</f>
        <v/>
      </c>
      <c r="B318" s="18" t="str">
        <f>'Cashflow Schedule'!E318</f>
        <v/>
      </c>
      <c r="C318" s="21" t="str">
        <f>IF(A318="","",EXP(-Inputs!$C$7*A318))</f>
        <v/>
      </c>
      <c r="D318" s="22" t="str">
        <f t="shared" si="1"/>
        <v/>
      </c>
      <c r="E318" s="22" t="str">
        <f>IF(A318="","",Inputs!$C$6*D318)</f>
        <v/>
      </c>
    </row>
    <row r="319">
      <c r="A319" s="18" t="str">
        <f>'Cashflow Schedule'!B319</f>
        <v/>
      </c>
      <c r="B319" s="18" t="str">
        <f>'Cashflow Schedule'!E319</f>
        <v/>
      </c>
      <c r="C319" s="21" t="str">
        <f>IF(A319="","",EXP(-Inputs!$C$7*A319))</f>
        <v/>
      </c>
      <c r="D319" s="22" t="str">
        <f t="shared" si="1"/>
        <v/>
      </c>
      <c r="E319" s="22" t="str">
        <f>IF(A319="","",Inputs!$C$6*D319)</f>
        <v/>
      </c>
    </row>
    <row r="320">
      <c r="A320" s="18" t="str">
        <f>'Cashflow Schedule'!B320</f>
        <v/>
      </c>
      <c r="B320" s="18" t="str">
        <f>'Cashflow Schedule'!E320</f>
        <v/>
      </c>
      <c r="C320" s="21" t="str">
        <f>IF(A320="","",EXP(-Inputs!$C$7*A320))</f>
        <v/>
      </c>
      <c r="D320" s="22" t="str">
        <f t="shared" si="1"/>
        <v/>
      </c>
      <c r="E320" s="22" t="str">
        <f>IF(A320="","",Inputs!$C$6*D320)</f>
        <v/>
      </c>
    </row>
    <row r="321">
      <c r="A321" s="18" t="str">
        <f>'Cashflow Schedule'!B321</f>
        <v/>
      </c>
      <c r="B321" s="18" t="str">
        <f>'Cashflow Schedule'!E321</f>
        <v/>
      </c>
      <c r="C321" s="21" t="str">
        <f>IF(A321="","",EXP(-Inputs!$C$7*A321))</f>
        <v/>
      </c>
      <c r="D321" s="22" t="str">
        <f t="shared" si="1"/>
        <v/>
      </c>
      <c r="E321" s="22" t="str">
        <f>IF(A321="","",Inputs!$C$6*D321)</f>
        <v/>
      </c>
    </row>
    <row r="322">
      <c r="A322" s="18" t="str">
        <f>'Cashflow Schedule'!B322</f>
        <v/>
      </c>
      <c r="B322" s="18" t="str">
        <f>'Cashflow Schedule'!E322</f>
        <v/>
      </c>
      <c r="C322" s="21" t="str">
        <f>IF(A322="","",EXP(-Inputs!$C$7*A322))</f>
        <v/>
      </c>
      <c r="D322" s="22" t="str">
        <f t="shared" si="1"/>
        <v/>
      </c>
      <c r="E322" s="22" t="str">
        <f>IF(A322="","",Inputs!$C$6*D322)</f>
        <v/>
      </c>
    </row>
    <row r="323">
      <c r="A323" s="18" t="str">
        <f>'Cashflow Schedule'!B323</f>
        <v/>
      </c>
      <c r="B323" s="18" t="str">
        <f>'Cashflow Schedule'!E323</f>
        <v/>
      </c>
      <c r="C323" s="21" t="str">
        <f>IF(A323="","",EXP(-Inputs!$C$7*A323))</f>
        <v/>
      </c>
      <c r="D323" s="22" t="str">
        <f t="shared" si="1"/>
        <v/>
      </c>
      <c r="E323" s="22" t="str">
        <f>IF(A323="","",Inputs!$C$6*D323)</f>
        <v/>
      </c>
    </row>
    <row r="324">
      <c r="A324" s="18" t="str">
        <f>'Cashflow Schedule'!B324</f>
        <v/>
      </c>
      <c r="B324" s="18" t="str">
        <f>'Cashflow Schedule'!E324</f>
        <v/>
      </c>
      <c r="C324" s="21" t="str">
        <f>IF(A324="","",EXP(-Inputs!$C$7*A324))</f>
        <v/>
      </c>
      <c r="D324" s="22" t="str">
        <f t="shared" si="1"/>
        <v/>
      </c>
      <c r="E324" s="22" t="str">
        <f>IF(A324="","",Inputs!$C$6*D324)</f>
        <v/>
      </c>
    </row>
    <row r="325">
      <c r="A325" s="18" t="str">
        <f>'Cashflow Schedule'!B325</f>
        <v/>
      </c>
      <c r="B325" s="18" t="str">
        <f>'Cashflow Schedule'!E325</f>
        <v/>
      </c>
      <c r="C325" s="21" t="str">
        <f>IF(A325="","",EXP(-Inputs!$C$7*A325))</f>
        <v/>
      </c>
      <c r="D325" s="22" t="str">
        <f t="shared" si="1"/>
        <v/>
      </c>
      <c r="E325" s="22" t="str">
        <f>IF(A325="","",Inputs!$C$6*D325)</f>
        <v/>
      </c>
    </row>
    <row r="326">
      <c r="A326" s="18" t="str">
        <f>'Cashflow Schedule'!B326</f>
        <v/>
      </c>
      <c r="B326" s="18" t="str">
        <f>'Cashflow Schedule'!E326</f>
        <v/>
      </c>
      <c r="C326" s="21" t="str">
        <f>IF(A326="","",EXP(-Inputs!$C$7*A326))</f>
        <v/>
      </c>
      <c r="D326" s="22" t="str">
        <f t="shared" si="1"/>
        <v/>
      </c>
      <c r="E326" s="22" t="str">
        <f>IF(A326="","",Inputs!$C$6*D326)</f>
        <v/>
      </c>
    </row>
    <row r="327">
      <c r="A327" s="18" t="str">
        <f>'Cashflow Schedule'!B327</f>
        <v/>
      </c>
      <c r="B327" s="18" t="str">
        <f>'Cashflow Schedule'!E327</f>
        <v/>
      </c>
      <c r="C327" s="21" t="str">
        <f>IF(A327="","",EXP(-Inputs!$C$7*A327))</f>
        <v/>
      </c>
      <c r="D327" s="22" t="str">
        <f t="shared" si="1"/>
        <v/>
      </c>
      <c r="E327" s="22" t="str">
        <f>IF(A327="","",Inputs!$C$6*D327)</f>
        <v/>
      </c>
    </row>
    <row r="328">
      <c r="A328" s="18" t="str">
        <f>'Cashflow Schedule'!B328</f>
        <v/>
      </c>
      <c r="B328" s="18" t="str">
        <f>'Cashflow Schedule'!E328</f>
        <v/>
      </c>
      <c r="C328" s="21" t="str">
        <f>IF(A328="","",EXP(-Inputs!$C$7*A328))</f>
        <v/>
      </c>
      <c r="D328" s="22" t="str">
        <f t="shared" si="1"/>
        <v/>
      </c>
      <c r="E328" s="22" t="str">
        <f>IF(A328="","",Inputs!$C$6*D328)</f>
        <v/>
      </c>
    </row>
    <row r="329">
      <c r="A329" s="18" t="str">
        <f>'Cashflow Schedule'!B329</f>
        <v/>
      </c>
      <c r="B329" s="18" t="str">
        <f>'Cashflow Schedule'!E329</f>
        <v/>
      </c>
      <c r="C329" s="21" t="str">
        <f>IF(A329="","",EXP(-Inputs!$C$7*A329))</f>
        <v/>
      </c>
      <c r="D329" s="22" t="str">
        <f t="shared" si="1"/>
        <v/>
      </c>
      <c r="E329" s="22" t="str">
        <f>IF(A329="","",Inputs!$C$6*D329)</f>
        <v/>
      </c>
    </row>
    <row r="330">
      <c r="A330" s="18" t="str">
        <f>'Cashflow Schedule'!B330</f>
        <v/>
      </c>
      <c r="B330" s="18" t="str">
        <f>'Cashflow Schedule'!E330</f>
        <v/>
      </c>
      <c r="C330" s="21" t="str">
        <f>IF(A330="","",EXP(-Inputs!$C$7*A330))</f>
        <v/>
      </c>
      <c r="D330" s="22" t="str">
        <f t="shared" si="1"/>
        <v/>
      </c>
      <c r="E330" s="22" t="str">
        <f>IF(A330="","",Inputs!$C$6*D330)</f>
        <v/>
      </c>
    </row>
    <row r="331">
      <c r="A331" s="18" t="str">
        <f>'Cashflow Schedule'!B331</f>
        <v/>
      </c>
      <c r="B331" s="18" t="str">
        <f>'Cashflow Schedule'!E331</f>
        <v/>
      </c>
      <c r="C331" s="21" t="str">
        <f>IF(A331="","",EXP(-Inputs!$C$7*A331))</f>
        <v/>
      </c>
      <c r="D331" s="22" t="str">
        <f t="shared" si="1"/>
        <v/>
      </c>
      <c r="E331" s="22" t="str">
        <f>IF(A331="","",Inputs!$C$6*D331)</f>
        <v/>
      </c>
    </row>
    <row r="332">
      <c r="A332" s="18" t="str">
        <f>'Cashflow Schedule'!B332</f>
        <v/>
      </c>
      <c r="B332" s="18" t="str">
        <f>'Cashflow Schedule'!E332</f>
        <v/>
      </c>
      <c r="C332" s="21" t="str">
        <f>IF(A332="","",EXP(-Inputs!$C$7*A332))</f>
        <v/>
      </c>
      <c r="D332" s="22" t="str">
        <f t="shared" si="1"/>
        <v/>
      </c>
      <c r="E332" s="22" t="str">
        <f>IF(A332="","",Inputs!$C$6*D332)</f>
        <v/>
      </c>
    </row>
    <row r="333">
      <c r="A333" s="18" t="str">
        <f>'Cashflow Schedule'!B333</f>
        <v/>
      </c>
      <c r="B333" s="18" t="str">
        <f>'Cashflow Schedule'!E333</f>
        <v/>
      </c>
      <c r="C333" s="21" t="str">
        <f>IF(A333="","",EXP(-Inputs!$C$7*A333))</f>
        <v/>
      </c>
      <c r="D333" s="22" t="str">
        <f t="shared" si="1"/>
        <v/>
      </c>
      <c r="E333" s="22" t="str">
        <f>IF(A333="","",Inputs!$C$6*D333)</f>
        <v/>
      </c>
    </row>
    <row r="334">
      <c r="A334" s="18" t="str">
        <f>'Cashflow Schedule'!B334</f>
        <v/>
      </c>
      <c r="B334" s="18" t="str">
        <f>'Cashflow Schedule'!E334</f>
        <v/>
      </c>
      <c r="C334" s="21" t="str">
        <f>IF(A334="","",EXP(-Inputs!$C$7*A334))</f>
        <v/>
      </c>
      <c r="D334" s="22" t="str">
        <f t="shared" si="1"/>
        <v/>
      </c>
      <c r="E334" s="22" t="str">
        <f>IF(A334="","",Inputs!$C$6*D334)</f>
        <v/>
      </c>
    </row>
    <row r="335">
      <c r="A335" s="18" t="str">
        <f>'Cashflow Schedule'!B335</f>
        <v/>
      </c>
      <c r="B335" s="18" t="str">
        <f>'Cashflow Schedule'!E335</f>
        <v/>
      </c>
      <c r="C335" s="21" t="str">
        <f>IF(A335="","",EXP(-Inputs!$C$7*A335))</f>
        <v/>
      </c>
      <c r="D335" s="22" t="str">
        <f t="shared" si="1"/>
        <v/>
      </c>
      <c r="E335" s="22" t="str">
        <f>IF(A335="","",Inputs!$C$6*D335)</f>
        <v/>
      </c>
    </row>
    <row r="336">
      <c r="A336" s="18" t="str">
        <f>'Cashflow Schedule'!B336</f>
        <v/>
      </c>
      <c r="B336" s="18" t="str">
        <f>'Cashflow Schedule'!E336</f>
        <v/>
      </c>
      <c r="C336" s="21" t="str">
        <f>IF(A336="","",EXP(-Inputs!$C$7*A336))</f>
        <v/>
      </c>
      <c r="D336" s="22" t="str">
        <f t="shared" si="1"/>
        <v/>
      </c>
      <c r="E336" s="22" t="str">
        <f>IF(A336="","",Inputs!$C$6*D336)</f>
        <v/>
      </c>
    </row>
    <row r="337">
      <c r="A337" s="18" t="str">
        <f>'Cashflow Schedule'!B337</f>
        <v/>
      </c>
      <c r="B337" s="18" t="str">
        <f>'Cashflow Schedule'!E337</f>
        <v/>
      </c>
      <c r="C337" s="21" t="str">
        <f>IF(A337="","",EXP(-Inputs!$C$7*A337))</f>
        <v/>
      </c>
      <c r="D337" s="22" t="str">
        <f t="shared" si="1"/>
        <v/>
      </c>
      <c r="E337" s="22" t="str">
        <f>IF(A337="","",Inputs!$C$6*D337)</f>
        <v/>
      </c>
    </row>
    <row r="338">
      <c r="A338" s="18" t="str">
        <f>'Cashflow Schedule'!B338</f>
        <v/>
      </c>
      <c r="B338" s="18" t="str">
        <f>'Cashflow Schedule'!E338</f>
        <v/>
      </c>
      <c r="C338" s="21" t="str">
        <f>IF(A338="","",EXP(-Inputs!$C$7*A338))</f>
        <v/>
      </c>
      <c r="D338" s="22" t="str">
        <f t="shared" si="1"/>
        <v/>
      </c>
      <c r="E338" s="22" t="str">
        <f>IF(A338="","",Inputs!$C$6*D338)</f>
        <v/>
      </c>
    </row>
    <row r="339">
      <c r="A339" s="18" t="str">
        <f>'Cashflow Schedule'!B339</f>
        <v/>
      </c>
      <c r="B339" s="18" t="str">
        <f>'Cashflow Schedule'!E339</f>
        <v/>
      </c>
      <c r="C339" s="21" t="str">
        <f>IF(A339="","",EXP(-Inputs!$C$7*A339))</f>
        <v/>
      </c>
      <c r="D339" s="22" t="str">
        <f t="shared" si="1"/>
        <v/>
      </c>
      <c r="E339" s="22" t="str">
        <f>IF(A339="","",Inputs!$C$6*D339)</f>
        <v/>
      </c>
    </row>
    <row r="340">
      <c r="A340" s="18" t="str">
        <f>'Cashflow Schedule'!B340</f>
        <v/>
      </c>
      <c r="B340" s="18" t="str">
        <f>'Cashflow Schedule'!E340</f>
        <v/>
      </c>
      <c r="C340" s="21" t="str">
        <f>IF(A340="","",EXP(-Inputs!$C$7*A340))</f>
        <v/>
      </c>
      <c r="D340" s="22" t="str">
        <f t="shared" si="1"/>
        <v/>
      </c>
      <c r="E340" s="22" t="str">
        <f>IF(A340="","",Inputs!$C$6*D340)</f>
        <v/>
      </c>
    </row>
    <row r="341">
      <c r="A341" s="18" t="str">
        <f>'Cashflow Schedule'!B341</f>
        <v/>
      </c>
      <c r="B341" s="18" t="str">
        <f>'Cashflow Schedule'!E341</f>
        <v/>
      </c>
      <c r="C341" s="21" t="str">
        <f>IF(A341="","",EXP(-Inputs!$C$7*A341))</f>
        <v/>
      </c>
      <c r="D341" s="22" t="str">
        <f t="shared" si="1"/>
        <v/>
      </c>
      <c r="E341" s="22" t="str">
        <f>IF(A341="","",Inputs!$C$6*D341)</f>
        <v/>
      </c>
    </row>
    <row r="342">
      <c r="A342" s="18" t="str">
        <f>'Cashflow Schedule'!B342</f>
        <v/>
      </c>
      <c r="B342" s="18" t="str">
        <f>'Cashflow Schedule'!E342</f>
        <v/>
      </c>
      <c r="C342" s="21" t="str">
        <f>IF(A342="","",EXP(-Inputs!$C$7*A342))</f>
        <v/>
      </c>
      <c r="D342" s="22" t="str">
        <f t="shared" si="1"/>
        <v/>
      </c>
      <c r="E342" s="22" t="str">
        <f>IF(A342="","",Inputs!$C$6*D342)</f>
        <v/>
      </c>
    </row>
    <row r="343">
      <c r="A343" s="18" t="str">
        <f>'Cashflow Schedule'!B343</f>
        <v/>
      </c>
      <c r="B343" s="18" t="str">
        <f>'Cashflow Schedule'!E343</f>
        <v/>
      </c>
      <c r="C343" s="21" t="str">
        <f>IF(A343="","",EXP(-Inputs!$C$7*A343))</f>
        <v/>
      </c>
      <c r="D343" s="22" t="str">
        <f t="shared" si="1"/>
        <v/>
      </c>
      <c r="E343" s="22" t="str">
        <f>IF(A343="","",Inputs!$C$6*D343)</f>
        <v/>
      </c>
    </row>
    <row r="344">
      <c r="A344" s="18" t="str">
        <f>'Cashflow Schedule'!B344</f>
        <v/>
      </c>
      <c r="B344" s="18" t="str">
        <f>'Cashflow Schedule'!E344</f>
        <v/>
      </c>
      <c r="C344" s="21" t="str">
        <f>IF(A344="","",EXP(-Inputs!$C$7*A344))</f>
        <v/>
      </c>
      <c r="D344" s="22" t="str">
        <f t="shared" si="1"/>
        <v/>
      </c>
      <c r="E344" s="22" t="str">
        <f>IF(A344="","",Inputs!$C$6*D344)</f>
        <v/>
      </c>
    </row>
    <row r="345">
      <c r="A345" s="18" t="str">
        <f>'Cashflow Schedule'!B345</f>
        <v/>
      </c>
      <c r="B345" s="18" t="str">
        <f>'Cashflow Schedule'!E345</f>
        <v/>
      </c>
      <c r="C345" s="21" t="str">
        <f>IF(A345="","",EXP(-Inputs!$C$7*A345))</f>
        <v/>
      </c>
      <c r="D345" s="22" t="str">
        <f t="shared" si="1"/>
        <v/>
      </c>
      <c r="E345" s="22" t="str">
        <f>IF(A345="","",Inputs!$C$6*D345)</f>
        <v/>
      </c>
    </row>
    <row r="346">
      <c r="A346" s="18" t="str">
        <f>'Cashflow Schedule'!B346</f>
        <v/>
      </c>
      <c r="B346" s="18" t="str">
        <f>'Cashflow Schedule'!E346</f>
        <v/>
      </c>
      <c r="C346" s="21" t="str">
        <f>IF(A346="","",EXP(-Inputs!$C$7*A346))</f>
        <v/>
      </c>
      <c r="D346" s="22" t="str">
        <f t="shared" si="1"/>
        <v/>
      </c>
      <c r="E346" s="22" t="str">
        <f>IF(A346="","",Inputs!$C$6*D346)</f>
        <v/>
      </c>
    </row>
    <row r="347">
      <c r="A347" s="18" t="str">
        <f>'Cashflow Schedule'!B347</f>
        <v/>
      </c>
      <c r="B347" s="18" t="str">
        <f>'Cashflow Schedule'!E347</f>
        <v/>
      </c>
      <c r="C347" s="21" t="str">
        <f>IF(A347="","",EXP(-Inputs!$C$7*A347))</f>
        <v/>
      </c>
      <c r="D347" s="22" t="str">
        <f t="shared" si="1"/>
        <v/>
      </c>
      <c r="E347" s="22" t="str">
        <f>IF(A347="","",Inputs!$C$6*D347)</f>
        <v/>
      </c>
    </row>
    <row r="348">
      <c r="A348" s="18" t="str">
        <f>'Cashflow Schedule'!B348</f>
        <v/>
      </c>
      <c r="B348" s="18" t="str">
        <f>'Cashflow Schedule'!E348</f>
        <v/>
      </c>
      <c r="C348" s="21" t="str">
        <f>IF(A348="","",EXP(-Inputs!$C$7*A348))</f>
        <v/>
      </c>
      <c r="D348" s="22" t="str">
        <f t="shared" si="1"/>
        <v/>
      </c>
      <c r="E348" s="22" t="str">
        <f>IF(A348="","",Inputs!$C$6*D348)</f>
        <v/>
      </c>
    </row>
    <row r="349">
      <c r="A349" s="18" t="str">
        <f>'Cashflow Schedule'!B349</f>
        <v/>
      </c>
      <c r="B349" s="18" t="str">
        <f>'Cashflow Schedule'!E349</f>
        <v/>
      </c>
      <c r="C349" s="21" t="str">
        <f>IF(A349="","",EXP(-Inputs!$C$7*A349))</f>
        <v/>
      </c>
      <c r="D349" s="22" t="str">
        <f t="shared" si="1"/>
        <v/>
      </c>
      <c r="E349" s="22" t="str">
        <f>IF(A349="","",Inputs!$C$6*D349)</f>
        <v/>
      </c>
    </row>
    <row r="350">
      <c r="A350" s="18" t="str">
        <f>'Cashflow Schedule'!B350</f>
        <v/>
      </c>
      <c r="B350" s="18" t="str">
        <f>'Cashflow Schedule'!E350</f>
        <v/>
      </c>
      <c r="C350" s="21" t="str">
        <f>IF(A350="","",EXP(-Inputs!$C$7*A350))</f>
        <v/>
      </c>
      <c r="D350" s="22" t="str">
        <f t="shared" si="1"/>
        <v/>
      </c>
      <c r="E350" s="22" t="str">
        <f>IF(A350="","",Inputs!$C$6*D350)</f>
        <v/>
      </c>
    </row>
    <row r="351">
      <c r="A351" s="18" t="str">
        <f>'Cashflow Schedule'!B351</f>
        <v/>
      </c>
      <c r="B351" s="18" t="str">
        <f>'Cashflow Schedule'!E351</f>
        <v/>
      </c>
      <c r="C351" s="21" t="str">
        <f>IF(A351="","",EXP(-Inputs!$C$7*A351))</f>
        <v/>
      </c>
      <c r="D351" s="22" t="str">
        <f t="shared" si="1"/>
        <v/>
      </c>
      <c r="E351" s="22" t="str">
        <f>IF(A351="","",Inputs!$C$6*D351)</f>
        <v/>
      </c>
    </row>
    <row r="352">
      <c r="A352" s="18" t="str">
        <f>'Cashflow Schedule'!B352</f>
        <v/>
      </c>
      <c r="B352" s="18" t="str">
        <f>'Cashflow Schedule'!E352</f>
        <v/>
      </c>
      <c r="C352" s="21" t="str">
        <f>IF(A352="","",EXP(-Inputs!$C$7*A352))</f>
        <v/>
      </c>
      <c r="D352" s="22" t="str">
        <f t="shared" si="1"/>
        <v/>
      </c>
      <c r="E352" s="22" t="str">
        <f>IF(A352="","",Inputs!$C$6*D352)</f>
        <v/>
      </c>
    </row>
    <row r="353">
      <c r="A353" s="18" t="str">
        <f>'Cashflow Schedule'!B353</f>
        <v/>
      </c>
      <c r="B353" s="18" t="str">
        <f>'Cashflow Schedule'!E353</f>
        <v/>
      </c>
      <c r="C353" s="21" t="str">
        <f>IF(A353="","",EXP(-Inputs!$C$7*A353))</f>
        <v/>
      </c>
      <c r="D353" s="22" t="str">
        <f t="shared" si="1"/>
        <v/>
      </c>
      <c r="E353" s="22" t="str">
        <f>IF(A353="","",Inputs!$C$6*D353)</f>
        <v/>
      </c>
    </row>
    <row r="354">
      <c r="A354" s="18" t="str">
        <f>'Cashflow Schedule'!B354</f>
        <v/>
      </c>
      <c r="B354" s="18" t="str">
        <f>'Cashflow Schedule'!E354</f>
        <v/>
      </c>
      <c r="C354" s="21" t="str">
        <f>IF(A354="","",EXP(-Inputs!$C$7*A354))</f>
        <v/>
      </c>
      <c r="D354" s="22" t="str">
        <f t="shared" si="1"/>
        <v/>
      </c>
      <c r="E354" s="22" t="str">
        <f>IF(A354="","",Inputs!$C$6*D354)</f>
        <v/>
      </c>
    </row>
    <row r="355">
      <c r="A355" s="18" t="str">
        <f>'Cashflow Schedule'!B355</f>
        <v/>
      </c>
      <c r="B355" s="18" t="str">
        <f>'Cashflow Schedule'!E355</f>
        <v/>
      </c>
      <c r="C355" s="21" t="str">
        <f>IF(A355="","",EXP(-Inputs!$C$7*A355))</f>
        <v/>
      </c>
      <c r="D355" s="22" t="str">
        <f t="shared" si="1"/>
        <v/>
      </c>
      <c r="E355" s="22" t="str">
        <f>IF(A355="","",Inputs!$C$6*D355)</f>
        <v/>
      </c>
    </row>
    <row r="356">
      <c r="A356" s="18" t="str">
        <f>'Cashflow Schedule'!B356</f>
        <v/>
      </c>
      <c r="B356" s="18" t="str">
        <f>'Cashflow Schedule'!E356</f>
        <v/>
      </c>
      <c r="C356" s="21" t="str">
        <f>IF(A356="","",EXP(-Inputs!$C$7*A356))</f>
        <v/>
      </c>
      <c r="D356" s="22" t="str">
        <f t="shared" si="1"/>
        <v/>
      </c>
      <c r="E356" s="22" t="str">
        <f>IF(A356="","",Inputs!$C$6*D356)</f>
        <v/>
      </c>
    </row>
    <row r="357">
      <c r="A357" s="18" t="str">
        <f>'Cashflow Schedule'!B357</f>
        <v/>
      </c>
      <c r="B357" s="18" t="str">
        <f>'Cashflow Schedule'!E357</f>
        <v/>
      </c>
      <c r="C357" s="21" t="str">
        <f>IF(A357="","",EXP(-Inputs!$C$7*A357))</f>
        <v/>
      </c>
      <c r="D357" s="22" t="str">
        <f t="shared" si="1"/>
        <v/>
      </c>
      <c r="E357" s="22" t="str">
        <f>IF(A357="","",Inputs!$C$6*D357)</f>
        <v/>
      </c>
    </row>
    <row r="358">
      <c r="A358" s="18" t="str">
        <f>'Cashflow Schedule'!B358</f>
        <v/>
      </c>
      <c r="B358" s="18" t="str">
        <f>'Cashflow Schedule'!E358</f>
        <v/>
      </c>
      <c r="C358" s="21" t="str">
        <f>IF(A358="","",EXP(-Inputs!$C$7*A358))</f>
        <v/>
      </c>
      <c r="D358" s="22" t="str">
        <f t="shared" si="1"/>
        <v/>
      </c>
      <c r="E358" s="22" t="str">
        <f>IF(A358="","",Inputs!$C$6*D358)</f>
        <v/>
      </c>
    </row>
    <row r="359">
      <c r="A359" s="18" t="str">
        <f>'Cashflow Schedule'!B359</f>
        <v/>
      </c>
      <c r="B359" s="18" t="str">
        <f>'Cashflow Schedule'!E359</f>
        <v/>
      </c>
      <c r="C359" s="21" t="str">
        <f>IF(A359="","",EXP(-Inputs!$C$7*A359))</f>
        <v/>
      </c>
      <c r="D359" s="22" t="str">
        <f t="shared" si="1"/>
        <v/>
      </c>
      <c r="E359" s="22" t="str">
        <f>IF(A359="","",Inputs!$C$6*D359)</f>
        <v/>
      </c>
    </row>
    <row r="360">
      <c r="A360" s="18" t="str">
        <f>'Cashflow Schedule'!B360</f>
        <v/>
      </c>
      <c r="B360" s="18" t="str">
        <f>'Cashflow Schedule'!E360</f>
        <v/>
      </c>
      <c r="C360" s="21" t="str">
        <f>IF(A360="","",EXP(-Inputs!$C$7*A360))</f>
        <v/>
      </c>
      <c r="D360" s="22" t="str">
        <f t="shared" si="1"/>
        <v/>
      </c>
      <c r="E360" s="22" t="str">
        <f>IF(A360="","",Inputs!$C$6*D360)</f>
        <v/>
      </c>
    </row>
    <row r="361">
      <c r="A361" s="18" t="str">
        <f>'Cashflow Schedule'!B361</f>
        <v/>
      </c>
      <c r="B361" s="18" t="str">
        <f>'Cashflow Schedule'!E361</f>
        <v/>
      </c>
      <c r="C361" s="21" t="str">
        <f>IF(A361="","",EXP(-Inputs!$C$7*A361))</f>
        <v/>
      </c>
      <c r="D361" s="22" t="str">
        <f t="shared" si="1"/>
        <v/>
      </c>
      <c r="E361" s="22" t="str">
        <f>IF(A361="","",Inputs!$C$6*D361)</f>
        <v/>
      </c>
    </row>
    <row r="362">
      <c r="A362" s="18" t="str">
        <f>'Cashflow Schedule'!B362</f>
        <v/>
      </c>
      <c r="B362" s="18" t="str">
        <f>'Cashflow Schedule'!E362</f>
        <v/>
      </c>
      <c r="C362" s="21" t="str">
        <f>IF(A362="","",EXP(-Inputs!$C$7*A362))</f>
        <v/>
      </c>
      <c r="D362" s="22" t="str">
        <f t="shared" si="1"/>
        <v/>
      </c>
      <c r="E362" s="22" t="str">
        <f>IF(A362="","",Inputs!$C$6*D362)</f>
        <v/>
      </c>
    </row>
    <row r="363">
      <c r="A363" s="18" t="str">
        <f>'Cashflow Schedule'!B363</f>
        <v/>
      </c>
      <c r="B363" s="18" t="str">
        <f>'Cashflow Schedule'!E363</f>
        <v/>
      </c>
      <c r="C363" s="21" t="str">
        <f>IF(A363="","",EXP(-Inputs!$C$7*A363))</f>
        <v/>
      </c>
      <c r="D363" s="22" t="str">
        <f t="shared" si="1"/>
        <v/>
      </c>
      <c r="E363" s="22" t="str">
        <f>IF(A363="","",Inputs!$C$6*D363)</f>
        <v/>
      </c>
    </row>
    <row r="364">
      <c r="A364" s="18" t="str">
        <f>'Cashflow Schedule'!B364</f>
        <v/>
      </c>
      <c r="B364" s="18" t="str">
        <f>'Cashflow Schedule'!E364</f>
        <v/>
      </c>
      <c r="C364" s="21" t="str">
        <f>IF(A364="","",EXP(-Inputs!$C$7*A364))</f>
        <v/>
      </c>
      <c r="D364" s="22" t="str">
        <f t="shared" si="1"/>
        <v/>
      </c>
      <c r="E364" s="22" t="str">
        <f>IF(A364="","",Inputs!$C$6*D364)</f>
        <v/>
      </c>
    </row>
    <row r="365">
      <c r="A365" s="18" t="str">
        <f>'Cashflow Schedule'!B365</f>
        <v/>
      </c>
      <c r="B365" s="18" t="str">
        <f>'Cashflow Schedule'!E365</f>
        <v/>
      </c>
      <c r="C365" s="21" t="str">
        <f>IF(A365="","",EXP(-Inputs!$C$7*A365))</f>
        <v/>
      </c>
      <c r="D365" s="22" t="str">
        <f t="shared" si="1"/>
        <v/>
      </c>
      <c r="E365" s="22" t="str">
        <f>IF(A365="","",Inputs!$C$6*D365)</f>
        <v/>
      </c>
    </row>
    <row r="366">
      <c r="A366" s="18" t="str">
        <f>'Cashflow Schedule'!B366</f>
        <v/>
      </c>
      <c r="B366" s="18" t="str">
        <f>'Cashflow Schedule'!E366</f>
        <v/>
      </c>
      <c r="C366" s="21" t="str">
        <f>IF(A366="","",EXP(-Inputs!$C$7*A366))</f>
        <v/>
      </c>
      <c r="D366" s="22" t="str">
        <f t="shared" si="1"/>
        <v/>
      </c>
      <c r="E366" s="22" t="str">
        <f>IF(A366="","",Inputs!$C$6*D366)</f>
        <v/>
      </c>
    </row>
    <row r="367">
      <c r="A367" s="18" t="str">
        <f>'Cashflow Schedule'!B367</f>
        <v/>
      </c>
      <c r="B367" s="18" t="str">
        <f>'Cashflow Schedule'!E367</f>
        <v/>
      </c>
      <c r="C367" s="21" t="str">
        <f>IF(A367="","",EXP(-Inputs!$C$7*A367))</f>
        <v/>
      </c>
      <c r="D367" s="22" t="str">
        <f t="shared" si="1"/>
        <v/>
      </c>
      <c r="E367" s="22" t="str">
        <f>IF(A367="","",Inputs!$C$6*D367)</f>
        <v/>
      </c>
    </row>
    <row r="368">
      <c r="A368" s="18" t="str">
        <f>'Cashflow Schedule'!B368</f>
        <v/>
      </c>
      <c r="B368" s="18" t="str">
        <f>'Cashflow Schedule'!E368</f>
        <v/>
      </c>
      <c r="C368" s="21" t="str">
        <f>IF(A368="","",EXP(-Inputs!$C$7*A368))</f>
        <v/>
      </c>
      <c r="D368" s="22" t="str">
        <f t="shared" si="1"/>
        <v/>
      </c>
      <c r="E368" s="22" t="str">
        <f>IF(A368="","",Inputs!$C$6*D368)</f>
        <v/>
      </c>
    </row>
    <row r="369">
      <c r="A369" s="18" t="str">
        <f>'Cashflow Schedule'!B369</f>
        <v/>
      </c>
      <c r="B369" s="18" t="str">
        <f>'Cashflow Schedule'!E369</f>
        <v/>
      </c>
      <c r="C369" s="21" t="str">
        <f>IF(A369="","",EXP(-Inputs!$C$7*A369))</f>
        <v/>
      </c>
      <c r="D369" s="22" t="str">
        <f t="shared" si="1"/>
        <v/>
      </c>
      <c r="E369" s="22" t="str">
        <f>IF(A369="","",Inputs!$C$6*D369)</f>
        <v/>
      </c>
    </row>
    <row r="370">
      <c r="A370" s="18" t="str">
        <f>'Cashflow Schedule'!B370</f>
        <v/>
      </c>
      <c r="B370" s="18" t="str">
        <f>'Cashflow Schedule'!E370</f>
        <v/>
      </c>
      <c r="C370" s="21" t="str">
        <f>IF(A370="","",EXP(-Inputs!$C$7*A370))</f>
        <v/>
      </c>
      <c r="D370" s="22" t="str">
        <f t="shared" si="1"/>
        <v/>
      </c>
      <c r="E370" s="22" t="str">
        <f>IF(A370="","",Inputs!$C$6*D370)</f>
        <v/>
      </c>
    </row>
    <row r="371">
      <c r="A371" s="18" t="str">
        <f>'Cashflow Schedule'!B371</f>
        <v/>
      </c>
      <c r="B371" s="18" t="str">
        <f>'Cashflow Schedule'!E371</f>
        <v/>
      </c>
      <c r="C371" s="21" t="str">
        <f>IF(A371="","",EXP(-Inputs!$C$7*A371))</f>
        <v/>
      </c>
      <c r="D371" s="22" t="str">
        <f t="shared" si="1"/>
        <v/>
      </c>
      <c r="E371" s="22" t="str">
        <f>IF(A371="","",Inputs!$C$6*D371)</f>
        <v/>
      </c>
    </row>
    <row r="372">
      <c r="A372" s="18" t="str">
        <f>'Cashflow Schedule'!B372</f>
        <v/>
      </c>
      <c r="B372" s="18" t="str">
        <f>'Cashflow Schedule'!E372</f>
        <v/>
      </c>
      <c r="C372" s="21" t="str">
        <f>IF(A372="","",EXP(-Inputs!$C$7*A372))</f>
        <v/>
      </c>
      <c r="D372" s="22" t="str">
        <f t="shared" si="1"/>
        <v/>
      </c>
      <c r="E372" s="22" t="str">
        <f>IF(A372="","",Inputs!$C$6*D372)</f>
        <v/>
      </c>
    </row>
    <row r="373">
      <c r="A373" s="18" t="str">
        <f>'Cashflow Schedule'!B373</f>
        <v/>
      </c>
      <c r="B373" s="18" t="str">
        <f>'Cashflow Schedule'!E373</f>
        <v/>
      </c>
      <c r="C373" s="21" t="str">
        <f>IF(A373="","",EXP(-Inputs!$C$7*A373))</f>
        <v/>
      </c>
      <c r="D373" s="22" t="str">
        <f t="shared" si="1"/>
        <v/>
      </c>
      <c r="E373" s="22" t="str">
        <f>IF(A373="","",Inputs!$C$6*D373)</f>
        <v/>
      </c>
    </row>
    <row r="374">
      <c r="A374" s="18" t="str">
        <f>'Cashflow Schedule'!B374</f>
        <v/>
      </c>
      <c r="B374" s="18" t="str">
        <f>'Cashflow Schedule'!E374</f>
        <v/>
      </c>
      <c r="C374" s="21" t="str">
        <f>IF(A374="","",EXP(-Inputs!$C$7*A374))</f>
        <v/>
      </c>
      <c r="D374" s="22" t="str">
        <f t="shared" si="1"/>
        <v/>
      </c>
      <c r="E374" s="22" t="str">
        <f>IF(A374="","",Inputs!$C$6*D374)</f>
        <v/>
      </c>
    </row>
    <row r="375">
      <c r="A375" s="18" t="str">
        <f>'Cashflow Schedule'!B375</f>
        <v/>
      </c>
      <c r="B375" s="18" t="str">
        <f>'Cashflow Schedule'!E375</f>
        <v/>
      </c>
      <c r="C375" s="21" t="str">
        <f>IF(A375="","",EXP(-Inputs!$C$7*A375))</f>
        <v/>
      </c>
      <c r="D375" s="22" t="str">
        <f t="shared" si="1"/>
        <v/>
      </c>
      <c r="E375" s="22" t="str">
        <f>IF(A375="","",Inputs!$C$6*D375)</f>
        <v/>
      </c>
    </row>
    <row r="376">
      <c r="A376" s="18" t="str">
        <f>'Cashflow Schedule'!B376</f>
        <v/>
      </c>
      <c r="B376" s="18" t="str">
        <f>'Cashflow Schedule'!E376</f>
        <v/>
      </c>
      <c r="C376" s="21" t="str">
        <f>IF(A376="","",EXP(-Inputs!$C$7*A376))</f>
        <v/>
      </c>
      <c r="D376" s="22" t="str">
        <f t="shared" si="1"/>
        <v/>
      </c>
      <c r="E376" s="22" t="str">
        <f>IF(A376="","",Inputs!$C$6*D376)</f>
        <v/>
      </c>
    </row>
    <row r="377">
      <c r="A377" s="18" t="str">
        <f>'Cashflow Schedule'!B377</f>
        <v/>
      </c>
      <c r="B377" s="18" t="str">
        <f>'Cashflow Schedule'!E377</f>
        <v/>
      </c>
      <c r="C377" s="21" t="str">
        <f>IF(A377="","",EXP(-Inputs!$C$7*A377))</f>
        <v/>
      </c>
      <c r="D377" s="22" t="str">
        <f t="shared" si="1"/>
        <v/>
      </c>
      <c r="E377" s="22" t="str">
        <f>IF(A377="","",Inputs!$C$6*D377)</f>
        <v/>
      </c>
    </row>
    <row r="378">
      <c r="A378" s="18" t="str">
        <f>'Cashflow Schedule'!B378</f>
        <v/>
      </c>
      <c r="B378" s="18" t="str">
        <f>'Cashflow Schedule'!E378</f>
        <v/>
      </c>
      <c r="C378" s="21" t="str">
        <f>IF(A378="","",EXP(-Inputs!$C$7*A378))</f>
        <v/>
      </c>
      <c r="D378" s="22" t="str">
        <f t="shared" si="1"/>
        <v/>
      </c>
      <c r="E378" s="22" t="str">
        <f>IF(A378="","",Inputs!$C$6*D378)</f>
        <v/>
      </c>
    </row>
    <row r="379">
      <c r="A379" s="18" t="str">
        <f>'Cashflow Schedule'!B379</f>
        <v/>
      </c>
      <c r="B379" s="18" t="str">
        <f>'Cashflow Schedule'!E379</f>
        <v/>
      </c>
      <c r="C379" s="21" t="str">
        <f>IF(A379="","",EXP(-Inputs!$C$7*A379))</f>
        <v/>
      </c>
      <c r="D379" s="22" t="str">
        <f t="shared" si="1"/>
        <v/>
      </c>
      <c r="E379" s="22" t="str">
        <f>IF(A379="","",Inputs!$C$6*D379)</f>
        <v/>
      </c>
    </row>
    <row r="380">
      <c r="A380" s="18" t="str">
        <f>'Cashflow Schedule'!B380</f>
        <v/>
      </c>
      <c r="B380" s="18" t="str">
        <f>'Cashflow Schedule'!E380</f>
        <v/>
      </c>
      <c r="C380" s="21" t="str">
        <f>IF(A380="","",EXP(-Inputs!$C$7*A380))</f>
        <v/>
      </c>
      <c r="D380" s="22" t="str">
        <f t="shared" si="1"/>
        <v/>
      </c>
      <c r="E380" s="22" t="str">
        <f>IF(A380="","",Inputs!$C$6*D380)</f>
        <v/>
      </c>
    </row>
    <row r="381">
      <c r="A381" s="18" t="str">
        <f>'Cashflow Schedule'!B381</f>
        <v/>
      </c>
      <c r="B381" s="18" t="str">
        <f>'Cashflow Schedule'!E381</f>
        <v/>
      </c>
      <c r="C381" s="21" t="str">
        <f>IF(A381="","",EXP(-Inputs!$C$7*A381))</f>
        <v/>
      </c>
      <c r="D381" s="22" t="str">
        <f t="shared" si="1"/>
        <v/>
      </c>
      <c r="E381" s="22" t="str">
        <f>IF(A381="","",Inputs!$C$6*D381)</f>
        <v/>
      </c>
    </row>
    <row r="382">
      <c r="A382" s="18" t="str">
        <f>'Cashflow Schedule'!B382</f>
        <v/>
      </c>
      <c r="B382" s="18" t="str">
        <f>'Cashflow Schedule'!E382</f>
        <v/>
      </c>
      <c r="C382" s="21" t="str">
        <f>IF(A382="","",EXP(-Inputs!$C$7*A382))</f>
        <v/>
      </c>
      <c r="D382" s="22" t="str">
        <f t="shared" si="1"/>
        <v/>
      </c>
      <c r="E382" s="22" t="str">
        <f>IF(A382="","",Inputs!$C$6*D382)</f>
        <v/>
      </c>
    </row>
    <row r="383">
      <c r="A383" s="18" t="str">
        <f>'Cashflow Schedule'!B383</f>
        <v/>
      </c>
      <c r="B383" s="18" t="str">
        <f>'Cashflow Schedule'!E383</f>
        <v/>
      </c>
      <c r="C383" s="21" t="str">
        <f>IF(A383="","",EXP(-Inputs!$C$7*A383))</f>
        <v/>
      </c>
      <c r="D383" s="22" t="str">
        <f t="shared" si="1"/>
        <v/>
      </c>
      <c r="E383" s="22" t="str">
        <f>IF(A383="","",Inputs!$C$6*D383)</f>
        <v/>
      </c>
    </row>
    <row r="384">
      <c r="A384" s="18" t="str">
        <f>'Cashflow Schedule'!B384</f>
        <v/>
      </c>
      <c r="B384" s="18" t="str">
        <f>'Cashflow Schedule'!E384</f>
        <v/>
      </c>
      <c r="C384" s="21" t="str">
        <f>IF(A384="","",EXP(-Inputs!$C$7*A384))</f>
        <v/>
      </c>
      <c r="D384" s="22" t="str">
        <f t="shared" si="1"/>
        <v/>
      </c>
      <c r="E384" s="22" t="str">
        <f>IF(A384="","",Inputs!$C$6*D384)</f>
        <v/>
      </c>
    </row>
    <row r="385">
      <c r="A385" s="18" t="str">
        <f>'Cashflow Schedule'!B385</f>
        <v/>
      </c>
      <c r="B385" s="18" t="str">
        <f>'Cashflow Schedule'!E385</f>
        <v/>
      </c>
      <c r="C385" s="21" t="str">
        <f>IF(A385="","",EXP(-Inputs!$C$7*A385))</f>
        <v/>
      </c>
      <c r="D385" s="22" t="str">
        <f t="shared" si="1"/>
        <v/>
      </c>
      <c r="E385" s="22" t="str">
        <f>IF(A385="","",Inputs!$C$6*D385)</f>
        <v/>
      </c>
    </row>
    <row r="386">
      <c r="A386" s="18" t="str">
        <f>'Cashflow Schedule'!B386</f>
        <v/>
      </c>
      <c r="B386" s="18" t="str">
        <f>'Cashflow Schedule'!E386</f>
        <v/>
      </c>
      <c r="C386" s="21" t="str">
        <f>IF(A386="","",EXP(-Inputs!$C$7*A386))</f>
        <v/>
      </c>
      <c r="D386" s="22" t="str">
        <f t="shared" si="1"/>
        <v/>
      </c>
      <c r="E386" s="22" t="str">
        <f>IF(A386="","",Inputs!$C$6*D386)</f>
        <v/>
      </c>
    </row>
    <row r="387">
      <c r="A387" s="18" t="str">
        <f>'Cashflow Schedule'!B387</f>
        <v/>
      </c>
      <c r="B387" s="18" t="str">
        <f>'Cashflow Schedule'!E387</f>
        <v/>
      </c>
      <c r="C387" s="21" t="str">
        <f>IF(A387="","",EXP(-Inputs!$C$7*A387))</f>
        <v/>
      </c>
      <c r="D387" s="22" t="str">
        <f t="shared" si="1"/>
        <v/>
      </c>
      <c r="E387" s="22" t="str">
        <f>IF(A387="","",Inputs!$C$6*D387)</f>
        <v/>
      </c>
    </row>
    <row r="388">
      <c r="A388" s="18" t="str">
        <f>'Cashflow Schedule'!B388</f>
        <v/>
      </c>
      <c r="B388" s="18" t="str">
        <f>'Cashflow Schedule'!E388</f>
        <v/>
      </c>
      <c r="C388" s="21" t="str">
        <f>IF(A388="","",EXP(-Inputs!$C$7*A388))</f>
        <v/>
      </c>
      <c r="D388" s="22" t="str">
        <f t="shared" si="1"/>
        <v/>
      </c>
      <c r="E388" s="22" t="str">
        <f>IF(A388="","",Inputs!$C$6*D388)</f>
        <v/>
      </c>
    </row>
    <row r="389">
      <c r="A389" s="18" t="str">
        <f>'Cashflow Schedule'!B389</f>
        <v/>
      </c>
      <c r="B389" s="18" t="str">
        <f>'Cashflow Schedule'!E389</f>
        <v/>
      </c>
      <c r="C389" s="21" t="str">
        <f>IF(A389="","",EXP(-Inputs!$C$7*A389))</f>
        <v/>
      </c>
      <c r="D389" s="22" t="str">
        <f t="shared" si="1"/>
        <v/>
      </c>
      <c r="E389" s="22" t="str">
        <f>IF(A389="","",Inputs!$C$6*D389)</f>
        <v/>
      </c>
    </row>
    <row r="390">
      <c r="A390" s="18" t="str">
        <f>'Cashflow Schedule'!B390</f>
        <v/>
      </c>
      <c r="B390" s="18" t="str">
        <f>'Cashflow Schedule'!E390</f>
        <v/>
      </c>
      <c r="C390" s="21" t="str">
        <f>IF(A390="","",EXP(-Inputs!$C$7*A390))</f>
        <v/>
      </c>
      <c r="D390" s="22" t="str">
        <f t="shared" si="1"/>
        <v/>
      </c>
      <c r="E390" s="22" t="str">
        <f>IF(A390="","",Inputs!$C$6*D390)</f>
        <v/>
      </c>
    </row>
    <row r="391">
      <c r="A391" s="18" t="str">
        <f>'Cashflow Schedule'!B391</f>
        <v/>
      </c>
      <c r="B391" s="18" t="str">
        <f>'Cashflow Schedule'!E391</f>
        <v/>
      </c>
      <c r="C391" s="21" t="str">
        <f>IF(A391="","",EXP(-Inputs!$C$7*A391))</f>
        <v/>
      </c>
      <c r="D391" s="22" t="str">
        <f t="shared" si="1"/>
        <v/>
      </c>
      <c r="E391" s="22" t="str">
        <f>IF(A391="","",Inputs!$C$6*D391)</f>
        <v/>
      </c>
    </row>
    <row r="392">
      <c r="A392" s="18" t="str">
        <f>'Cashflow Schedule'!B392</f>
        <v/>
      </c>
      <c r="B392" s="18" t="str">
        <f>'Cashflow Schedule'!E392</f>
        <v/>
      </c>
      <c r="C392" s="21" t="str">
        <f>IF(A392="","",EXP(-Inputs!$C$7*A392))</f>
        <v/>
      </c>
      <c r="D392" s="22" t="str">
        <f t="shared" si="1"/>
        <v/>
      </c>
      <c r="E392" s="22" t="str">
        <f>IF(A392="","",Inputs!$C$6*D392)</f>
        <v/>
      </c>
    </row>
    <row r="393">
      <c r="A393" s="18" t="str">
        <f>'Cashflow Schedule'!B393</f>
        <v/>
      </c>
      <c r="B393" s="18" t="str">
        <f>'Cashflow Schedule'!E393</f>
        <v/>
      </c>
      <c r="C393" s="21" t="str">
        <f>IF(A393="","",EXP(-Inputs!$C$7*A393))</f>
        <v/>
      </c>
      <c r="D393" s="22" t="str">
        <f t="shared" si="1"/>
        <v/>
      </c>
      <c r="E393" s="22" t="str">
        <f>IF(A393="","",Inputs!$C$6*D393)</f>
        <v/>
      </c>
    </row>
    <row r="394">
      <c r="A394" s="18" t="str">
        <f>'Cashflow Schedule'!B394</f>
        <v/>
      </c>
      <c r="B394" s="18" t="str">
        <f>'Cashflow Schedule'!E394</f>
        <v/>
      </c>
      <c r="C394" s="21" t="str">
        <f>IF(A394="","",EXP(-Inputs!$C$7*A394))</f>
        <v/>
      </c>
      <c r="D394" s="22" t="str">
        <f t="shared" si="1"/>
        <v/>
      </c>
      <c r="E394" s="22" t="str">
        <f>IF(A394="","",Inputs!$C$6*D394)</f>
        <v/>
      </c>
    </row>
    <row r="395">
      <c r="A395" s="18" t="str">
        <f>'Cashflow Schedule'!B395</f>
        <v/>
      </c>
      <c r="B395" s="18" t="str">
        <f>'Cashflow Schedule'!E395</f>
        <v/>
      </c>
      <c r="C395" s="21" t="str">
        <f>IF(A395="","",EXP(-Inputs!$C$7*A395))</f>
        <v/>
      </c>
      <c r="D395" s="22" t="str">
        <f t="shared" si="1"/>
        <v/>
      </c>
      <c r="E395" s="22" t="str">
        <f>IF(A395="","",Inputs!$C$6*D395)</f>
        <v/>
      </c>
    </row>
    <row r="396">
      <c r="A396" s="18" t="str">
        <f>'Cashflow Schedule'!B396</f>
        <v/>
      </c>
      <c r="B396" s="18" t="str">
        <f>'Cashflow Schedule'!E396</f>
        <v/>
      </c>
      <c r="C396" s="21" t="str">
        <f>IF(A396="","",EXP(-Inputs!$C$7*A396))</f>
        <v/>
      </c>
      <c r="D396" s="22" t="str">
        <f t="shared" si="1"/>
        <v/>
      </c>
      <c r="E396" s="22" t="str">
        <f>IF(A396="","",Inputs!$C$6*D396)</f>
        <v/>
      </c>
    </row>
    <row r="397">
      <c r="A397" s="18" t="str">
        <f>'Cashflow Schedule'!B397</f>
        <v/>
      </c>
      <c r="B397" s="18" t="str">
        <f>'Cashflow Schedule'!E397</f>
        <v/>
      </c>
      <c r="C397" s="21" t="str">
        <f>IF(A397="","",EXP(-Inputs!$C$7*A397))</f>
        <v/>
      </c>
      <c r="D397" s="22" t="str">
        <f t="shared" si="1"/>
        <v/>
      </c>
      <c r="E397" s="22" t="str">
        <f>IF(A397="","",Inputs!$C$6*D397)</f>
        <v/>
      </c>
    </row>
    <row r="398">
      <c r="A398" s="18" t="str">
        <f>'Cashflow Schedule'!B398</f>
        <v/>
      </c>
      <c r="B398" s="18" t="str">
        <f>'Cashflow Schedule'!E398</f>
        <v/>
      </c>
      <c r="C398" s="21" t="str">
        <f>IF(A398="","",EXP(-Inputs!$C$7*A398))</f>
        <v/>
      </c>
      <c r="D398" s="22" t="str">
        <f t="shared" si="1"/>
        <v/>
      </c>
      <c r="E398" s="22" t="str">
        <f>IF(A398="","",Inputs!$C$6*D398)</f>
        <v/>
      </c>
    </row>
    <row r="399">
      <c r="A399" s="18" t="str">
        <f>'Cashflow Schedule'!B399</f>
        <v/>
      </c>
      <c r="B399" s="18" t="str">
        <f>'Cashflow Schedule'!E399</f>
        <v/>
      </c>
      <c r="C399" s="21" t="str">
        <f>IF(A399="","",EXP(-Inputs!$C$7*A399))</f>
        <v/>
      </c>
      <c r="D399" s="22" t="str">
        <f t="shared" si="1"/>
        <v/>
      </c>
      <c r="E399" s="22" t="str">
        <f>IF(A399="","",Inputs!$C$6*D399)</f>
        <v/>
      </c>
    </row>
    <row r="400">
      <c r="A400" s="18" t="str">
        <f>'Cashflow Schedule'!B400</f>
        <v/>
      </c>
      <c r="B400" s="18" t="str">
        <f>'Cashflow Schedule'!E400</f>
        <v/>
      </c>
      <c r="C400" s="21" t="str">
        <f>IF(A400="","",EXP(-Inputs!$C$7*A400))</f>
        <v/>
      </c>
      <c r="D400" s="22" t="str">
        <f t="shared" si="1"/>
        <v/>
      </c>
      <c r="E400" s="22" t="str">
        <f>IF(A400="","",Inputs!$C$6*D400)</f>
        <v/>
      </c>
    </row>
    <row r="401">
      <c r="A401" s="18" t="str">
        <f>'Cashflow Schedule'!B401</f>
        <v/>
      </c>
      <c r="B401" s="18" t="str">
        <f>'Cashflow Schedule'!E401</f>
        <v/>
      </c>
      <c r="C401" s="21" t="str">
        <f>IF(A401="","",EXP(-Inputs!$C$7*A401))</f>
        <v/>
      </c>
      <c r="D401" s="22" t="str">
        <f t="shared" si="1"/>
        <v/>
      </c>
      <c r="E401" s="22" t="str">
        <f>IF(A401="","",Inputs!$C$6*D401)</f>
        <v/>
      </c>
    </row>
    <row r="402">
      <c r="A402" s="18" t="str">
        <f>'Cashflow Schedule'!B402</f>
        <v/>
      </c>
      <c r="B402" s="18" t="str">
        <f>'Cashflow Schedule'!E402</f>
        <v/>
      </c>
      <c r="C402" s="21" t="str">
        <f>IF(A402="","",EXP(-Inputs!$C$7*A402))</f>
        <v/>
      </c>
      <c r="D402" s="22" t="str">
        <f t="shared" si="1"/>
        <v/>
      </c>
      <c r="E402" s="22" t="str">
        <f>IF(A402="","",Inputs!$C$6*D402)</f>
        <v/>
      </c>
    </row>
    <row r="403">
      <c r="A403" s="18" t="str">
        <f>'Cashflow Schedule'!B403</f>
        <v/>
      </c>
      <c r="B403" s="18" t="str">
        <f>'Cashflow Schedule'!E403</f>
        <v/>
      </c>
      <c r="C403" s="21" t="str">
        <f>IF(A403="","",EXP(-Inputs!$C$7*A403))</f>
        <v/>
      </c>
      <c r="D403" s="22" t="str">
        <f t="shared" si="1"/>
        <v/>
      </c>
      <c r="E403" s="22" t="str">
        <f>IF(A403="","",Inputs!$C$6*D403)</f>
        <v/>
      </c>
    </row>
    <row r="404">
      <c r="A404" s="18" t="str">
        <f>'Cashflow Schedule'!B404</f>
        <v/>
      </c>
      <c r="B404" s="18" t="str">
        <f>'Cashflow Schedule'!E404</f>
        <v/>
      </c>
      <c r="C404" s="21" t="str">
        <f>IF(A404="","",EXP(-Inputs!$C$7*A404))</f>
        <v/>
      </c>
      <c r="D404" s="22" t="str">
        <f t="shared" si="1"/>
        <v/>
      </c>
      <c r="E404" s="22" t="str">
        <f>IF(A404="","",Inputs!$C$6*D404)</f>
        <v/>
      </c>
    </row>
    <row r="405">
      <c r="A405" s="18" t="str">
        <f>'Cashflow Schedule'!B405</f>
        <v/>
      </c>
      <c r="B405" s="18" t="str">
        <f>'Cashflow Schedule'!E405</f>
        <v/>
      </c>
      <c r="C405" s="21" t="str">
        <f>IF(A405="","",EXP(-Inputs!$C$7*A405))</f>
        <v/>
      </c>
      <c r="D405" s="22" t="str">
        <f t="shared" si="1"/>
        <v/>
      </c>
      <c r="E405" s="22" t="str">
        <f>IF(A405="","",Inputs!$C$6*D405)</f>
        <v/>
      </c>
    </row>
    <row r="406">
      <c r="A406" s="18" t="str">
        <f>'Cashflow Schedule'!B406</f>
        <v/>
      </c>
      <c r="B406" s="18" t="str">
        <f>'Cashflow Schedule'!E406</f>
        <v/>
      </c>
      <c r="C406" s="21" t="str">
        <f>IF(A406="","",EXP(-Inputs!$C$7*A406))</f>
        <v/>
      </c>
      <c r="D406" s="22" t="str">
        <f t="shared" si="1"/>
        <v/>
      </c>
      <c r="E406" s="22" t="str">
        <f>IF(A406="","",Inputs!$C$6*D406)</f>
        <v/>
      </c>
    </row>
    <row r="407">
      <c r="A407" s="18" t="str">
        <f>'Cashflow Schedule'!B407</f>
        <v/>
      </c>
      <c r="B407" s="18" t="str">
        <f>'Cashflow Schedule'!E407</f>
        <v/>
      </c>
      <c r="C407" s="21" t="str">
        <f>IF(A407="","",EXP(-Inputs!$C$7*A407))</f>
        <v/>
      </c>
      <c r="D407" s="22" t="str">
        <f t="shared" si="1"/>
        <v/>
      </c>
      <c r="E407" s="22" t="str">
        <f>IF(A407="","",Inputs!$C$6*D407)</f>
        <v/>
      </c>
    </row>
    <row r="408">
      <c r="A408" s="18" t="str">
        <f>'Cashflow Schedule'!B408</f>
        <v/>
      </c>
      <c r="B408" s="18" t="str">
        <f>'Cashflow Schedule'!E408</f>
        <v/>
      </c>
      <c r="C408" s="21" t="str">
        <f>IF(A408="","",EXP(-Inputs!$C$7*A408))</f>
        <v/>
      </c>
      <c r="D408" s="22" t="str">
        <f t="shared" si="1"/>
        <v/>
      </c>
      <c r="E408" s="22" t="str">
        <f>IF(A408="","",Inputs!$C$6*D408)</f>
        <v/>
      </c>
    </row>
    <row r="409">
      <c r="A409" s="18" t="str">
        <f>'Cashflow Schedule'!B409</f>
        <v/>
      </c>
      <c r="B409" s="18" t="str">
        <f>'Cashflow Schedule'!E409</f>
        <v/>
      </c>
      <c r="C409" s="21" t="str">
        <f>IF(A409="","",EXP(-Inputs!$C$7*A409))</f>
        <v/>
      </c>
      <c r="D409" s="22" t="str">
        <f t="shared" si="1"/>
        <v/>
      </c>
      <c r="E409" s="22" t="str">
        <f>IF(A409="","",Inputs!$C$6*D409)</f>
        <v/>
      </c>
    </row>
    <row r="410">
      <c r="A410" s="18" t="str">
        <f>'Cashflow Schedule'!B410</f>
        <v/>
      </c>
      <c r="B410" s="18" t="str">
        <f>'Cashflow Schedule'!E410</f>
        <v/>
      </c>
      <c r="C410" s="21" t="str">
        <f>IF(A410="","",EXP(-Inputs!$C$7*A410))</f>
        <v/>
      </c>
      <c r="D410" s="22" t="str">
        <f t="shared" si="1"/>
        <v/>
      </c>
      <c r="E410" s="22" t="str">
        <f>IF(A410="","",Inputs!$C$6*D410)</f>
        <v/>
      </c>
    </row>
    <row r="411">
      <c r="A411" s="18" t="str">
        <f>'Cashflow Schedule'!B411</f>
        <v/>
      </c>
      <c r="B411" s="18" t="str">
        <f>'Cashflow Schedule'!E411</f>
        <v/>
      </c>
      <c r="C411" s="21" t="str">
        <f>IF(A411="","",EXP(-Inputs!$C$7*A411))</f>
        <v/>
      </c>
      <c r="D411" s="22" t="str">
        <f t="shared" si="1"/>
        <v/>
      </c>
      <c r="E411" s="22" t="str">
        <f>IF(A411="","",Inputs!$C$6*D411)</f>
        <v/>
      </c>
    </row>
    <row r="412">
      <c r="A412" s="18" t="str">
        <f>'Cashflow Schedule'!B412</f>
        <v/>
      </c>
      <c r="B412" s="18" t="str">
        <f>'Cashflow Schedule'!E412</f>
        <v/>
      </c>
      <c r="C412" s="21" t="str">
        <f>IF(A412="","",EXP(-Inputs!$C$7*A412))</f>
        <v/>
      </c>
      <c r="D412" s="22" t="str">
        <f t="shared" si="1"/>
        <v/>
      </c>
      <c r="E412" s="22" t="str">
        <f>IF(A412="","",Inputs!$C$6*D412)</f>
        <v/>
      </c>
    </row>
    <row r="413">
      <c r="A413" s="18" t="str">
        <f>'Cashflow Schedule'!B413</f>
        <v/>
      </c>
      <c r="B413" s="18" t="str">
        <f>'Cashflow Schedule'!E413</f>
        <v/>
      </c>
      <c r="C413" s="21" t="str">
        <f>IF(A413="","",EXP(-Inputs!$C$7*A413))</f>
        <v/>
      </c>
      <c r="D413" s="22" t="str">
        <f t="shared" si="1"/>
        <v/>
      </c>
      <c r="E413" s="22" t="str">
        <f>IF(A413="","",Inputs!$C$6*D413)</f>
        <v/>
      </c>
    </row>
    <row r="414">
      <c r="A414" s="18" t="str">
        <f>'Cashflow Schedule'!B414</f>
        <v/>
      </c>
      <c r="B414" s="18" t="str">
        <f>'Cashflow Schedule'!E414</f>
        <v/>
      </c>
      <c r="C414" s="21" t="str">
        <f>IF(A414="","",EXP(-Inputs!$C$7*A414))</f>
        <v/>
      </c>
      <c r="D414" s="22" t="str">
        <f t="shared" si="1"/>
        <v/>
      </c>
      <c r="E414" s="22" t="str">
        <f>IF(A414="","",Inputs!$C$6*D414)</f>
        <v/>
      </c>
    </row>
    <row r="415">
      <c r="A415" s="18" t="str">
        <f>'Cashflow Schedule'!B415</f>
        <v/>
      </c>
      <c r="B415" s="18" t="str">
        <f>'Cashflow Schedule'!E415</f>
        <v/>
      </c>
      <c r="C415" s="21" t="str">
        <f>IF(A415="","",EXP(-Inputs!$C$7*A415))</f>
        <v/>
      </c>
      <c r="D415" s="22" t="str">
        <f t="shared" si="1"/>
        <v/>
      </c>
      <c r="E415" s="22" t="str">
        <f>IF(A415="","",Inputs!$C$6*D415)</f>
        <v/>
      </c>
    </row>
    <row r="416">
      <c r="A416" s="18" t="str">
        <f>'Cashflow Schedule'!B416</f>
        <v/>
      </c>
      <c r="B416" s="18" t="str">
        <f>'Cashflow Schedule'!E416</f>
        <v/>
      </c>
      <c r="C416" s="21" t="str">
        <f>IF(A416="","",EXP(-Inputs!$C$7*A416))</f>
        <v/>
      </c>
      <c r="D416" s="22" t="str">
        <f t="shared" si="1"/>
        <v/>
      </c>
      <c r="E416" s="22" t="str">
        <f>IF(A416="","",Inputs!$C$6*D416)</f>
        <v/>
      </c>
    </row>
    <row r="417">
      <c r="A417" s="18" t="str">
        <f>'Cashflow Schedule'!B417</f>
        <v/>
      </c>
      <c r="B417" s="18" t="str">
        <f>'Cashflow Schedule'!E417</f>
        <v/>
      </c>
      <c r="C417" s="21" t="str">
        <f>IF(A417="","",EXP(-Inputs!$C$7*A417))</f>
        <v/>
      </c>
      <c r="D417" s="22" t="str">
        <f t="shared" si="1"/>
        <v/>
      </c>
      <c r="E417" s="22" t="str">
        <f>IF(A417="","",Inputs!$C$6*D417)</f>
        <v/>
      </c>
    </row>
    <row r="418">
      <c r="A418" s="18" t="str">
        <f>'Cashflow Schedule'!B418</f>
        <v/>
      </c>
      <c r="B418" s="18" t="str">
        <f>'Cashflow Schedule'!E418</f>
        <v/>
      </c>
      <c r="C418" s="21" t="str">
        <f>IF(A418="","",EXP(-Inputs!$C$7*A418))</f>
        <v/>
      </c>
      <c r="D418" s="22" t="str">
        <f t="shared" si="1"/>
        <v/>
      </c>
      <c r="E418" s="22" t="str">
        <f>IF(A418="","",Inputs!$C$6*D418)</f>
        <v/>
      </c>
    </row>
    <row r="419">
      <c r="A419" s="18" t="str">
        <f>'Cashflow Schedule'!B419</f>
        <v/>
      </c>
      <c r="B419" s="18" t="str">
        <f>'Cashflow Schedule'!E419</f>
        <v/>
      </c>
      <c r="C419" s="21" t="str">
        <f>IF(A419="","",EXP(-Inputs!$C$7*A419))</f>
        <v/>
      </c>
      <c r="D419" s="22" t="str">
        <f t="shared" si="1"/>
        <v/>
      </c>
      <c r="E419" s="22" t="str">
        <f>IF(A419="","",Inputs!$C$6*D419)</f>
        <v/>
      </c>
    </row>
    <row r="420">
      <c r="A420" s="18" t="str">
        <f>'Cashflow Schedule'!B420</f>
        <v/>
      </c>
      <c r="B420" s="18" t="str">
        <f>'Cashflow Schedule'!E420</f>
        <v/>
      </c>
      <c r="C420" s="21" t="str">
        <f>IF(A420="","",EXP(-Inputs!$C$7*A420))</f>
        <v/>
      </c>
      <c r="D420" s="22" t="str">
        <f t="shared" si="1"/>
        <v/>
      </c>
      <c r="E420" s="22" t="str">
        <f>IF(A420="","",Inputs!$C$6*D420)</f>
        <v/>
      </c>
    </row>
    <row r="421">
      <c r="A421" s="18" t="str">
        <f>'Cashflow Schedule'!B421</f>
        <v/>
      </c>
      <c r="B421" s="18" t="str">
        <f>'Cashflow Schedule'!E421</f>
        <v/>
      </c>
      <c r="C421" s="21" t="str">
        <f>IF(A421="","",EXP(-Inputs!$C$7*A421))</f>
        <v/>
      </c>
      <c r="D421" s="22" t="str">
        <f t="shared" si="1"/>
        <v/>
      </c>
      <c r="E421" s="22" t="str">
        <f>IF(A421="","",Inputs!$C$6*D421)</f>
        <v/>
      </c>
    </row>
    <row r="422">
      <c r="A422" s="18" t="str">
        <f>'Cashflow Schedule'!B422</f>
        <v/>
      </c>
      <c r="B422" s="18" t="str">
        <f>'Cashflow Schedule'!E422</f>
        <v/>
      </c>
      <c r="C422" s="21" t="str">
        <f>IF(A422="","",EXP(-Inputs!$C$7*A422))</f>
        <v/>
      </c>
      <c r="D422" s="22" t="str">
        <f t="shared" si="1"/>
        <v/>
      </c>
      <c r="E422" s="22" t="str">
        <f>IF(A422="","",Inputs!$C$6*D422)</f>
        <v/>
      </c>
    </row>
    <row r="423">
      <c r="A423" s="18" t="str">
        <f>'Cashflow Schedule'!B423</f>
        <v/>
      </c>
      <c r="B423" s="18" t="str">
        <f>'Cashflow Schedule'!E423</f>
        <v/>
      </c>
      <c r="C423" s="21" t="str">
        <f>IF(A423="","",EXP(-Inputs!$C$7*A423))</f>
        <v/>
      </c>
      <c r="D423" s="22" t="str">
        <f t="shared" si="1"/>
        <v/>
      </c>
      <c r="E423" s="22" t="str">
        <f>IF(A423="","",Inputs!$C$6*D423)</f>
        <v/>
      </c>
    </row>
    <row r="424">
      <c r="A424" s="18" t="str">
        <f>'Cashflow Schedule'!B424</f>
        <v/>
      </c>
      <c r="B424" s="18" t="str">
        <f>'Cashflow Schedule'!E424</f>
        <v/>
      </c>
      <c r="C424" s="21" t="str">
        <f>IF(A424="","",EXP(-Inputs!$C$7*A424))</f>
        <v/>
      </c>
      <c r="D424" s="22" t="str">
        <f t="shared" si="1"/>
        <v/>
      </c>
      <c r="E424" s="22" t="str">
        <f>IF(A424="","",Inputs!$C$6*D424)</f>
        <v/>
      </c>
    </row>
    <row r="425">
      <c r="A425" s="18" t="str">
        <f>'Cashflow Schedule'!B425</f>
        <v/>
      </c>
      <c r="B425" s="18" t="str">
        <f>'Cashflow Schedule'!E425</f>
        <v/>
      </c>
      <c r="C425" s="21" t="str">
        <f>IF(A425="","",EXP(-Inputs!$C$7*A425))</f>
        <v/>
      </c>
      <c r="D425" s="22" t="str">
        <f t="shared" si="1"/>
        <v/>
      </c>
      <c r="E425" s="22" t="str">
        <f>IF(A425="","",Inputs!$C$6*D425)</f>
        <v/>
      </c>
    </row>
    <row r="426">
      <c r="A426" s="18" t="str">
        <f>'Cashflow Schedule'!B426</f>
        <v/>
      </c>
      <c r="B426" s="18" t="str">
        <f>'Cashflow Schedule'!E426</f>
        <v/>
      </c>
      <c r="C426" s="21" t="str">
        <f>IF(A426="","",EXP(-Inputs!$C$7*A426))</f>
        <v/>
      </c>
      <c r="D426" s="22" t="str">
        <f t="shared" si="1"/>
        <v/>
      </c>
      <c r="E426" s="22" t="str">
        <f>IF(A426="","",Inputs!$C$6*D426)</f>
        <v/>
      </c>
    </row>
    <row r="427">
      <c r="A427" s="18" t="str">
        <f>'Cashflow Schedule'!B427</f>
        <v/>
      </c>
      <c r="B427" s="18" t="str">
        <f>'Cashflow Schedule'!E427</f>
        <v/>
      </c>
      <c r="C427" s="21" t="str">
        <f>IF(A427="","",EXP(-Inputs!$C$7*A427))</f>
        <v/>
      </c>
      <c r="D427" s="22" t="str">
        <f t="shared" si="1"/>
        <v/>
      </c>
      <c r="E427" s="22" t="str">
        <f>IF(A427="","",Inputs!$C$6*D427)</f>
        <v/>
      </c>
    </row>
    <row r="428">
      <c r="A428" s="18" t="str">
        <f>'Cashflow Schedule'!B428</f>
        <v/>
      </c>
      <c r="B428" s="18" t="str">
        <f>'Cashflow Schedule'!E428</f>
        <v/>
      </c>
      <c r="C428" s="21" t="str">
        <f>IF(A428="","",EXP(-Inputs!$C$7*A428))</f>
        <v/>
      </c>
      <c r="D428" s="22" t="str">
        <f t="shared" si="1"/>
        <v/>
      </c>
      <c r="E428" s="22" t="str">
        <f>IF(A428="","",Inputs!$C$6*D428)</f>
        <v/>
      </c>
    </row>
    <row r="429">
      <c r="A429" s="18" t="str">
        <f>'Cashflow Schedule'!B429</f>
        <v/>
      </c>
      <c r="B429" s="18" t="str">
        <f>'Cashflow Schedule'!E429</f>
        <v/>
      </c>
      <c r="C429" s="21" t="str">
        <f>IF(A429="","",EXP(-Inputs!$C$7*A429))</f>
        <v/>
      </c>
      <c r="D429" s="22" t="str">
        <f t="shared" si="1"/>
        <v/>
      </c>
      <c r="E429" s="22" t="str">
        <f>IF(A429="","",Inputs!$C$6*D429)</f>
        <v/>
      </c>
    </row>
    <row r="430">
      <c r="A430" s="18" t="str">
        <f>'Cashflow Schedule'!B430</f>
        <v/>
      </c>
      <c r="B430" s="18" t="str">
        <f>'Cashflow Schedule'!E430</f>
        <v/>
      </c>
      <c r="C430" s="21" t="str">
        <f>IF(A430="","",EXP(-Inputs!$C$7*A430))</f>
        <v/>
      </c>
      <c r="D430" s="22" t="str">
        <f t="shared" si="1"/>
        <v/>
      </c>
      <c r="E430" s="22" t="str">
        <f>IF(A430="","",Inputs!$C$6*D430)</f>
        <v/>
      </c>
    </row>
    <row r="431">
      <c r="A431" s="18" t="str">
        <f>'Cashflow Schedule'!B431</f>
        <v/>
      </c>
      <c r="B431" s="18" t="str">
        <f>'Cashflow Schedule'!E431</f>
        <v/>
      </c>
      <c r="C431" s="21" t="str">
        <f>IF(A431="","",EXP(-Inputs!$C$7*A431))</f>
        <v/>
      </c>
      <c r="D431" s="22" t="str">
        <f t="shared" si="1"/>
        <v/>
      </c>
      <c r="E431" s="22" t="str">
        <f>IF(A431="","",Inputs!$C$6*D431)</f>
        <v/>
      </c>
    </row>
    <row r="432">
      <c r="A432" s="18" t="str">
        <f>'Cashflow Schedule'!B432</f>
        <v/>
      </c>
      <c r="B432" s="18" t="str">
        <f>'Cashflow Schedule'!E432</f>
        <v/>
      </c>
      <c r="C432" s="21" t="str">
        <f>IF(A432="","",EXP(-Inputs!$C$7*A432))</f>
        <v/>
      </c>
      <c r="D432" s="22" t="str">
        <f t="shared" si="1"/>
        <v/>
      </c>
      <c r="E432" s="22" t="str">
        <f>IF(A432="","",Inputs!$C$6*D432)</f>
        <v/>
      </c>
    </row>
    <row r="433">
      <c r="A433" s="18" t="str">
        <f>'Cashflow Schedule'!B433</f>
        <v/>
      </c>
      <c r="B433" s="18" t="str">
        <f>'Cashflow Schedule'!E433</f>
        <v/>
      </c>
      <c r="C433" s="21" t="str">
        <f>IF(A433="","",EXP(-Inputs!$C$7*A433))</f>
        <v/>
      </c>
      <c r="D433" s="22" t="str">
        <f t="shared" si="1"/>
        <v/>
      </c>
      <c r="E433" s="22" t="str">
        <f>IF(A433="","",Inputs!$C$6*D433)</f>
        <v/>
      </c>
    </row>
    <row r="434">
      <c r="A434" s="18" t="str">
        <f>'Cashflow Schedule'!B434</f>
        <v/>
      </c>
      <c r="B434" s="18" t="str">
        <f>'Cashflow Schedule'!E434</f>
        <v/>
      </c>
      <c r="C434" s="21" t="str">
        <f>IF(A434="","",EXP(-Inputs!$C$7*A434))</f>
        <v/>
      </c>
      <c r="D434" s="22" t="str">
        <f t="shared" si="1"/>
        <v/>
      </c>
      <c r="E434" s="22" t="str">
        <f>IF(A434="","",Inputs!$C$6*D434)</f>
        <v/>
      </c>
    </row>
    <row r="435">
      <c r="A435" s="18" t="str">
        <f>'Cashflow Schedule'!B435</f>
        <v/>
      </c>
      <c r="B435" s="18" t="str">
        <f>'Cashflow Schedule'!E435</f>
        <v/>
      </c>
      <c r="C435" s="21" t="str">
        <f>IF(A435="","",EXP(-Inputs!$C$7*A435))</f>
        <v/>
      </c>
      <c r="D435" s="22" t="str">
        <f t="shared" si="1"/>
        <v/>
      </c>
      <c r="E435" s="22" t="str">
        <f>IF(A435="","",Inputs!$C$6*D435)</f>
        <v/>
      </c>
    </row>
    <row r="436">
      <c r="A436" s="18" t="str">
        <f>'Cashflow Schedule'!B436</f>
        <v/>
      </c>
      <c r="B436" s="18" t="str">
        <f>'Cashflow Schedule'!E436</f>
        <v/>
      </c>
      <c r="C436" s="21" t="str">
        <f>IF(A436="","",EXP(-Inputs!$C$7*A436))</f>
        <v/>
      </c>
      <c r="D436" s="22" t="str">
        <f t="shared" si="1"/>
        <v/>
      </c>
      <c r="E436" s="22" t="str">
        <f>IF(A436="","",Inputs!$C$6*D436)</f>
        <v/>
      </c>
    </row>
    <row r="437">
      <c r="A437" s="18" t="str">
        <f>'Cashflow Schedule'!B437</f>
        <v/>
      </c>
      <c r="B437" s="18" t="str">
        <f>'Cashflow Schedule'!E437</f>
        <v/>
      </c>
      <c r="C437" s="21" t="str">
        <f>IF(A437="","",EXP(-Inputs!$C$7*A437))</f>
        <v/>
      </c>
      <c r="D437" s="22" t="str">
        <f t="shared" si="1"/>
        <v/>
      </c>
      <c r="E437" s="22" t="str">
        <f>IF(A437="","",Inputs!$C$6*D437)</f>
        <v/>
      </c>
    </row>
    <row r="438">
      <c r="A438" s="18" t="str">
        <f>'Cashflow Schedule'!B438</f>
        <v/>
      </c>
      <c r="B438" s="18" t="str">
        <f>'Cashflow Schedule'!E438</f>
        <v/>
      </c>
      <c r="C438" s="21" t="str">
        <f>IF(A438="","",EXP(-Inputs!$C$7*A438))</f>
        <v/>
      </c>
      <c r="D438" s="22" t="str">
        <f t="shared" si="1"/>
        <v/>
      </c>
      <c r="E438" s="22" t="str">
        <f>IF(A438="","",Inputs!$C$6*D438)</f>
        <v/>
      </c>
    </row>
    <row r="439">
      <c r="A439" s="18" t="str">
        <f>'Cashflow Schedule'!B439</f>
        <v/>
      </c>
      <c r="B439" s="18" t="str">
        <f>'Cashflow Schedule'!E439</f>
        <v/>
      </c>
      <c r="C439" s="21" t="str">
        <f>IF(A439="","",EXP(-Inputs!$C$7*A439))</f>
        <v/>
      </c>
      <c r="D439" s="22" t="str">
        <f t="shared" si="1"/>
        <v/>
      </c>
      <c r="E439" s="22" t="str">
        <f>IF(A439="","",Inputs!$C$6*D439)</f>
        <v/>
      </c>
    </row>
    <row r="440">
      <c r="A440" s="18" t="str">
        <f>'Cashflow Schedule'!B440</f>
        <v/>
      </c>
      <c r="B440" s="18" t="str">
        <f>'Cashflow Schedule'!E440</f>
        <v/>
      </c>
      <c r="C440" s="21" t="str">
        <f>IF(A440="","",EXP(-Inputs!$C$7*A440))</f>
        <v/>
      </c>
      <c r="D440" s="22" t="str">
        <f t="shared" si="1"/>
        <v/>
      </c>
      <c r="E440" s="22" t="str">
        <f>IF(A440="","",Inputs!$C$6*D440)</f>
        <v/>
      </c>
    </row>
    <row r="441">
      <c r="A441" s="18" t="str">
        <f>'Cashflow Schedule'!B441</f>
        <v/>
      </c>
      <c r="B441" s="18" t="str">
        <f>'Cashflow Schedule'!E441</f>
        <v/>
      </c>
      <c r="C441" s="21" t="str">
        <f>IF(A441="","",EXP(-Inputs!$C$7*A441))</f>
        <v/>
      </c>
      <c r="D441" s="22" t="str">
        <f t="shared" si="1"/>
        <v/>
      </c>
      <c r="E441" s="22" t="str">
        <f>IF(A441="","",Inputs!$C$6*D441)</f>
        <v/>
      </c>
    </row>
    <row r="442">
      <c r="A442" s="18" t="str">
        <f>'Cashflow Schedule'!B442</f>
        <v/>
      </c>
      <c r="B442" s="18" t="str">
        <f>'Cashflow Schedule'!E442</f>
        <v/>
      </c>
      <c r="C442" s="21" t="str">
        <f>IF(A442="","",EXP(-Inputs!$C$7*A442))</f>
        <v/>
      </c>
      <c r="D442" s="22" t="str">
        <f t="shared" si="1"/>
        <v/>
      </c>
      <c r="E442" s="22" t="str">
        <f>IF(A442="","",Inputs!$C$6*D442)</f>
        <v/>
      </c>
    </row>
    <row r="443">
      <c r="A443" s="18" t="str">
        <f>'Cashflow Schedule'!B443</f>
        <v/>
      </c>
      <c r="B443" s="18" t="str">
        <f>'Cashflow Schedule'!E443</f>
        <v/>
      </c>
      <c r="C443" s="21" t="str">
        <f>IF(A443="","",EXP(-Inputs!$C$7*A443))</f>
        <v/>
      </c>
      <c r="D443" s="22" t="str">
        <f t="shared" si="1"/>
        <v/>
      </c>
      <c r="E443" s="22" t="str">
        <f>IF(A443="","",Inputs!$C$6*D443)</f>
        <v/>
      </c>
    </row>
    <row r="444">
      <c r="A444" s="18" t="str">
        <f>'Cashflow Schedule'!B444</f>
        <v/>
      </c>
      <c r="B444" s="18" t="str">
        <f>'Cashflow Schedule'!E444</f>
        <v/>
      </c>
      <c r="C444" s="21" t="str">
        <f>IF(A444="","",EXP(-Inputs!$C$7*A444))</f>
        <v/>
      </c>
      <c r="D444" s="22" t="str">
        <f t="shared" si="1"/>
        <v/>
      </c>
      <c r="E444" s="22" t="str">
        <f>IF(A444="","",Inputs!$C$6*D444)</f>
        <v/>
      </c>
    </row>
    <row r="445">
      <c r="A445" s="18" t="str">
        <f>'Cashflow Schedule'!B445</f>
        <v/>
      </c>
      <c r="B445" s="18" t="str">
        <f>'Cashflow Schedule'!E445</f>
        <v/>
      </c>
      <c r="C445" s="21" t="str">
        <f>IF(A445="","",EXP(-Inputs!$C$7*A445))</f>
        <v/>
      </c>
      <c r="D445" s="22" t="str">
        <f t="shared" si="1"/>
        <v/>
      </c>
      <c r="E445" s="22" t="str">
        <f>IF(A445="","",Inputs!$C$6*D445)</f>
        <v/>
      </c>
    </row>
    <row r="446">
      <c r="A446" s="18" t="str">
        <f>'Cashflow Schedule'!B446</f>
        <v/>
      </c>
      <c r="B446" s="18" t="str">
        <f>'Cashflow Schedule'!E446</f>
        <v/>
      </c>
      <c r="C446" s="21" t="str">
        <f>IF(A446="","",EXP(-Inputs!$C$7*A446))</f>
        <v/>
      </c>
      <c r="D446" s="22" t="str">
        <f t="shared" si="1"/>
        <v/>
      </c>
      <c r="E446" s="22" t="str">
        <f>IF(A446="","",Inputs!$C$6*D446)</f>
        <v/>
      </c>
    </row>
    <row r="447">
      <c r="A447" s="18" t="str">
        <f>'Cashflow Schedule'!B447</f>
        <v/>
      </c>
      <c r="B447" s="18" t="str">
        <f>'Cashflow Schedule'!E447</f>
        <v/>
      </c>
      <c r="C447" s="21" t="str">
        <f>IF(A447="","",EXP(-Inputs!$C$7*A447))</f>
        <v/>
      </c>
      <c r="D447" s="22" t="str">
        <f t="shared" si="1"/>
        <v/>
      </c>
      <c r="E447" s="22" t="str">
        <f>IF(A447="","",Inputs!$C$6*D447)</f>
        <v/>
      </c>
    </row>
    <row r="448">
      <c r="A448" s="18" t="str">
        <f>'Cashflow Schedule'!B448</f>
        <v/>
      </c>
      <c r="B448" s="18" t="str">
        <f>'Cashflow Schedule'!E448</f>
        <v/>
      </c>
      <c r="C448" s="21" t="str">
        <f>IF(A448="","",EXP(-Inputs!$C$7*A448))</f>
        <v/>
      </c>
      <c r="D448" s="22" t="str">
        <f t="shared" si="1"/>
        <v/>
      </c>
      <c r="E448" s="22" t="str">
        <f>IF(A448="","",Inputs!$C$6*D448)</f>
        <v/>
      </c>
    </row>
    <row r="449">
      <c r="A449" s="18" t="str">
        <f>'Cashflow Schedule'!B449</f>
        <v/>
      </c>
      <c r="B449" s="18" t="str">
        <f>'Cashflow Schedule'!E449</f>
        <v/>
      </c>
      <c r="C449" s="21" t="str">
        <f>IF(A449="","",EXP(-Inputs!$C$7*A449))</f>
        <v/>
      </c>
      <c r="D449" s="22" t="str">
        <f t="shared" si="1"/>
        <v/>
      </c>
      <c r="E449" s="22" t="str">
        <f>IF(A449="","",Inputs!$C$6*D449)</f>
        <v/>
      </c>
    </row>
    <row r="450">
      <c r="A450" s="18" t="str">
        <f>'Cashflow Schedule'!B450</f>
        <v/>
      </c>
      <c r="B450" s="18" t="str">
        <f>'Cashflow Schedule'!E450</f>
        <v/>
      </c>
      <c r="C450" s="21" t="str">
        <f>IF(A450="","",EXP(-Inputs!$C$7*A450))</f>
        <v/>
      </c>
      <c r="D450" s="22" t="str">
        <f t="shared" si="1"/>
        <v/>
      </c>
      <c r="E450" s="22" t="str">
        <f>IF(A450="","",Inputs!$C$6*D450)</f>
        <v/>
      </c>
    </row>
    <row r="451">
      <c r="A451" s="18" t="str">
        <f>'Cashflow Schedule'!B451</f>
        <v/>
      </c>
      <c r="B451" s="18" t="str">
        <f>'Cashflow Schedule'!E451</f>
        <v/>
      </c>
      <c r="C451" s="21" t="str">
        <f>IF(A451="","",EXP(-Inputs!$C$7*A451))</f>
        <v/>
      </c>
      <c r="D451" s="22" t="str">
        <f t="shared" si="1"/>
        <v/>
      </c>
      <c r="E451" s="22" t="str">
        <f>IF(A451="","",Inputs!$C$6*D451)</f>
        <v/>
      </c>
    </row>
    <row r="452">
      <c r="A452" s="18" t="str">
        <f>'Cashflow Schedule'!B452</f>
        <v/>
      </c>
      <c r="B452" s="18" t="str">
        <f>'Cashflow Schedule'!E452</f>
        <v/>
      </c>
      <c r="C452" s="21" t="str">
        <f>IF(A452="","",EXP(-Inputs!$C$7*A452))</f>
        <v/>
      </c>
      <c r="D452" s="22" t="str">
        <f t="shared" si="1"/>
        <v/>
      </c>
      <c r="E452" s="22" t="str">
        <f>IF(A452="","",Inputs!$C$6*D452)</f>
        <v/>
      </c>
    </row>
    <row r="453">
      <c r="A453" s="18" t="str">
        <f>'Cashflow Schedule'!B453</f>
        <v/>
      </c>
      <c r="B453" s="18" t="str">
        <f>'Cashflow Schedule'!E453</f>
        <v/>
      </c>
      <c r="C453" s="21" t="str">
        <f>IF(A453="","",EXP(-Inputs!$C$7*A453))</f>
        <v/>
      </c>
      <c r="D453" s="22" t="str">
        <f t="shared" si="1"/>
        <v/>
      </c>
      <c r="E453" s="22" t="str">
        <f>IF(A453="","",Inputs!$C$6*D453)</f>
        <v/>
      </c>
    </row>
    <row r="454">
      <c r="A454" s="18" t="str">
        <f>'Cashflow Schedule'!B454</f>
        <v/>
      </c>
      <c r="B454" s="18" t="str">
        <f>'Cashflow Schedule'!E454</f>
        <v/>
      </c>
      <c r="C454" s="21" t="str">
        <f>IF(A454="","",EXP(-Inputs!$C$7*A454))</f>
        <v/>
      </c>
      <c r="D454" s="22" t="str">
        <f t="shared" si="1"/>
        <v/>
      </c>
      <c r="E454" s="22" t="str">
        <f>IF(A454="","",Inputs!$C$6*D454)</f>
        <v/>
      </c>
    </row>
    <row r="455">
      <c r="A455" s="18" t="str">
        <f>'Cashflow Schedule'!B455</f>
        <v/>
      </c>
      <c r="B455" s="18" t="str">
        <f>'Cashflow Schedule'!E455</f>
        <v/>
      </c>
      <c r="C455" s="21" t="str">
        <f>IF(A455="","",EXP(-Inputs!$C$7*A455))</f>
        <v/>
      </c>
      <c r="D455" s="22" t="str">
        <f t="shared" si="1"/>
        <v/>
      </c>
      <c r="E455" s="22" t="str">
        <f>IF(A455="","",Inputs!$C$6*D455)</f>
        <v/>
      </c>
    </row>
    <row r="456">
      <c r="A456" s="18" t="str">
        <f>'Cashflow Schedule'!B456</f>
        <v/>
      </c>
      <c r="B456" s="18" t="str">
        <f>'Cashflow Schedule'!E456</f>
        <v/>
      </c>
      <c r="C456" s="21" t="str">
        <f>IF(A456="","",EXP(-Inputs!$C$7*A456))</f>
        <v/>
      </c>
      <c r="D456" s="22" t="str">
        <f t="shared" si="1"/>
        <v/>
      </c>
      <c r="E456" s="22" t="str">
        <f>IF(A456="","",Inputs!$C$6*D456)</f>
        <v/>
      </c>
    </row>
    <row r="457">
      <c r="A457" s="18" t="str">
        <f>'Cashflow Schedule'!B457</f>
        <v/>
      </c>
      <c r="B457" s="18" t="str">
        <f>'Cashflow Schedule'!E457</f>
        <v/>
      </c>
      <c r="C457" s="21" t="str">
        <f>IF(A457="","",EXP(-Inputs!$C$7*A457))</f>
        <v/>
      </c>
      <c r="D457" s="22" t="str">
        <f t="shared" si="1"/>
        <v/>
      </c>
      <c r="E457" s="22" t="str">
        <f>IF(A457="","",Inputs!$C$6*D457)</f>
        <v/>
      </c>
    </row>
    <row r="458">
      <c r="A458" s="18" t="str">
        <f>'Cashflow Schedule'!B458</f>
        <v/>
      </c>
      <c r="B458" s="18" t="str">
        <f>'Cashflow Schedule'!E458</f>
        <v/>
      </c>
      <c r="C458" s="21" t="str">
        <f>IF(A458="","",EXP(-Inputs!$C$7*A458))</f>
        <v/>
      </c>
      <c r="D458" s="22" t="str">
        <f t="shared" si="1"/>
        <v/>
      </c>
      <c r="E458" s="22" t="str">
        <f>IF(A458="","",Inputs!$C$6*D458)</f>
        <v/>
      </c>
    </row>
    <row r="459">
      <c r="A459" s="18" t="str">
        <f>'Cashflow Schedule'!B459</f>
        <v/>
      </c>
      <c r="B459" s="18" t="str">
        <f>'Cashflow Schedule'!E459</f>
        <v/>
      </c>
      <c r="C459" s="21" t="str">
        <f>IF(A459="","",EXP(-Inputs!$C$7*A459))</f>
        <v/>
      </c>
      <c r="D459" s="22" t="str">
        <f t="shared" si="1"/>
        <v/>
      </c>
      <c r="E459" s="22" t="str">
        <f>IF(A459="","",Inputs!$C$6*D459)</f>
        <v/>
      </c>
    </row>
    <row r="460">
      <c r="A460" s="18" t="str">
        <f>'Cashflow Schedule'!B460</f>
        <v/>
      </c>
      <c r="B460" s="18" t="str">
        <f>'Cashflow Schedule'!E460</f>
        <v/>
      </c>
      <c r="C460" s="21" t="str">
        <f>IF(A460="","",EXP(-Inputs!$C$7*A460))</f>
        <v/>
      </c>
      <c r="D460" s="22" t="str">
        <f t="shared" si="1"/>
        <v/>
      </c>
      <c r="E460" s="22" t="str">
        <f>IF(A460="","",Inputs!$C$6*D460)</f>
        <v/>
      </c>
    </row>
    <row r="461">
      <c r="A461" s="18" t="str">
        <f>'Cashflow Schedule'!B461</f>
        <v/>
      </c>
      <c r="B461" s="18" t="str">
        <f>'Cashflow Schedule'!E461</f>
        <v/>
      </c>
      <c r="C461" s="21" t="str">
        <f>IF(A461="","",EXP(-Inputs!$C$7*A461))</f>
        <v/>
      </c>
      <c r="D461" s="22" t="str">
        <f t="shared" si="1"/>
        <v/>
      </c>
      <c r="E461" s="22" t="str">
        <f>IF(A461="","",Inputs!$C$6*D461)</f>
        <v/>
      </c>
    </row>
    <row r="462">
      <c r="A462" s="18" t="str">
        <f>'Cashflow Schedule'!B462</f>
        <v/>
      </c>
      <c r="B462" s="18" t="str">
        <f>'Cashflow Schedule'!E462</f>
        <v/>
      </c>
      <c r="C462" s="21" t="str">
        <f>IF(A462="","",EXP(-Inputs!$C$7*A462))</f>
        <v/>
      </c>
      <c r="D462" s="22" t="str">
        <f t="shared" si="1"/>
        <v/>
      </c>
      <c r="E462" s="22" t="str">
        <f>IF(A462="","",Inputs!$C$6*D462)</f>
        <v/>
      </c>
    </row>
    <row r="463">
      <c r="A463" s="18" t="str">
        <f>'Cashflow Schedule'!B463</f>
        <v/>
      </c>
      <c r="B463" s="18" t="str">
        <f>'Cashflow Schedule'!E463</f>
        <v/>
      </c>
      <c r="C463" s="21" t="str">
        <f>IF(A463="","",EXP(-Inputs!$C$7*A463))</f>
        <v/>
      </c>
      <c r="D463" s="22" t="str">
        <f t="shared" si="1"/>
        <v/>
      </c>
      <c r="E463" s="22" t="str">
        <f>IF(A463="","",Inputs!$C$6*D463)</f>
        <v/>
      </c>
    </row>
    <row r="464">
      <c r="A464" s="18" t="str">
        <f>'Cashflow Schedule'!B464</f>
        <v/>
      </c>
      <c r="B464" s="18" t="str">
        <f>'Cashflow Schedule'!E464</f>
        <v/>
      </c>
      <c r="C464" s="21" t="str">
        <f>IF(A464="","",EXP(-Inputs!$C$7*A464))</f>
        <v/>
      </c>
      <c r="D464" s="22" t="str">
        <f t="shared" si="1"/>
        <v/>
      </c>
      <c r="E464" s="22" t="str">
        <f>IF(A464="","",Inputs!$C$6*D464)</f>
        <v/>
      </c>
    </row>
    <row r="465">
      <c r="A465" s="18" t="str">
        <f>'Cashflow Schedule'!B465</f>
        <v/>
      </c>
      <c r="B465" s="18" t="str">
        <f>'Cashflow Schedule'!E465</f>
        <v/>
      </c>
      <c r="C465" s="21" t="str">
        <f>IF(A465="","",EXP(-Inputs!$C$7*A465))</f>
        <v/>
      </c>
      <c r="D465" s="22" t="str">
        <f t="shared" si="1"/>
        <v/>
      </c>
      <c r="E465" s="22" t="str">
        <f>IF(A465="","",Inputs!$C$6*D465)</f>
        <v/>
      </c>
    </row>
    <row r="466">
      <c r="A466" s="18" t="str">
        <f>'Cashflow Schedule'!B466</f>
        <v/>
      </c>
      <c r="B466" s="18" t="str">
        <f>'Cashflow Schedule'!E466</f>
        <v/>
      </c>
      <c r="C466" s="21" t="str">
        <f>IF(A466="","",EXP(-Inputs!$C$7*A466))</f>
        <v/>
      </c>
      <c r="D466" s="22" t="str">
        <f t="shared" si="1"/>
        <v/>
      </c>
      <c r="E466" s="22" t="str">
        <f>IF(A466="","",Inputs!$C$6*D466)</f>
        <v/>
      </c>
    </row>
    <row r="467">
      <c r="A467" s="18" t="str">
        <f>'Cashflow Schedule'!B467</f>
        <v/>
      </c>
      <c r="B467" s="18" t="str">
        <f>'Cashflow Schedule'!E467</f>
        <v/>
      </c>
      <c r="C467" s="21" t="str">
        <f>IF(A467="","",EXP(-Inputs!$C$7*A467))</f>
        <v/>
      </c>
      <c r="D467" s="22" t="str">
        <f t="shared" si="1"/>
        <v/>
      </c>
      <c r="E467" s="22" t="str">
        <f>IF(A467="","",Inputs!$C$6*D467)</f>
        <v/>
      </c>
    </row>
    <row r="468">
      <c r="A468" s="18" t="str">
        <f>'Cashflow Schedule'!B468</f>
        <v/>
      </c>
      <c r="B468" s="18" t="str">
        <f>'Cashflow Schedule'!E468</f>
        <v/>
      </c>
      <c r="C468" s="21" t="str">
        <f>IF(A468="","",EXP(-Inputs!$C$7*A468))</f>
        <v/>
      </c>
      <c r="D468" s="22" t="str">
        <f t="shared" si="1"/>
        <v/>
      </c>
      <c r="E468" s="22" t="str">
        <f>IF(A468="","",Inputs!$C$6*D468)</f>
        <v/>
      </c>
    </row>
    <row r="469">
      <c r="A469" s="18" t="str">
        <f>'Cashflow Schedule'!B469</f>
        <v/>
      </c>
      <c r="B469" s="18" t="str">
        <f>'Cashflow Schedule'!E469</f>
        <v/>
      </c>
      <c r="C469" s="21" t="str">
        <f>IF(A469="","",EXP(-Inputs!$C$7*A469))</f>
        <v/>
      </c>
      <c r="D469" s="22" t="str">
        <f t="shared" si="1"/>
        <v/>
      </c>
      <c r="E469" s="22" t="str">
        <f>IF(A469="","",Inputs!$C$6*D469)</f>
        <v/>
      </c>
    </row>
    <row r="470">
      <c r="A470" s="18" t="str">
        <f>'Cashflow Schedule'!B470</f>
        <v/>
      </c>
      <c r="B470" s="18" t="str">
        <f>'Cashflow Schedule'!E470</f>
        <v/>
      </c>
      <c r="C470" s="21" t="str">
        <f>IF(A470="","",EXP(-Inputs!$C$7*A470))</f>
        <v/>
      </c>
      <c r="D470" s="22" t="str">
        <f t="shared" si="1"/>
        <v/>
      </c>
      <c r="E470" s="22" t="str">
        <f>IF(A470="","",Inputs!$C$6*D470)</f>
        <v/>
      </c>
    </row>
    <row r="471">
      <c r="A471" s="18" t="str">
        <f>'Cashflow Schedule'!B471</f>
        <v/>
      </c>
      <c r="B471" s="18" t="str">
        <f>'Cashflow Schedule'!E471</f>
        <v/>
      </c>
      <c r="C471" s="21" t="str">
        <f>IF(A471="","",EXP(-Inputs!$C$7*A471))</f>
        <v/>
      </c>
      <c r="D471" s="22" t="str">
        <f t="shared" si="1"/>
        <v/>
      </c>
      <c r="E471" s="22" t="str">
        <f>IF(A471="","",Inputs!$C$6*D471)</f>
        <v/>
      </c>
    </row>
    <row r="472">
      <c r="A472" s="18" t="str">
        <f>'Cashflow Schedule'!B472</f>
        <v/>
      </c>
      <c r="B472" s="18" t="str">
        <f>'Cashflow Schedule'!E472</f>
        <v/>
      </c>
      <c r="C472" s="21" t="str">
        <f>IF(A472="","",EXP(-Inputs!$C$7*A472))</f>
        <v/>
      </c>
      <c r="D472" s="22" t="str">
        <f t="shared" si="1"/>
        <v/>
      </c>
      <c r="E472" s="22" t="str">
        <f>IF(A472="","",Inputs!$C$6*D472)</f>
        <v/>
      </c>
    </row>
    <row r="473">
      <c r="A473" s="18" t="str">
        <f>'Cashflow Schedule'!B473</f>
        <v/>
      </c>
      <c r="B473" s="18" t="str">
        <f>'Cashflow Schedule'!E473</f>
        <v/>
      </c>
      <c r="C473" s="21" t="str">
        <f>IF(A473="","",EXP(-Inputs!$C$7*A473))</f>
        <v/>
      </c>
      <c r="D473" s="22" t="str">
        <f t="shared" si="1"/>
        <v/>
      </c>
      <c r="E473" s="22" t="str">
        <f>IF(A473="","",Inputs!$C$6*D473)</f>
        <v/>
      </c>
    </row>
    <row r="474">
      <c r="A474" s="18" t="str">
        <f>'Cashflow Schedule'!B474</f>
        <v/>
      </c>
      <c r="B474" s="18" t="str">
        <f>'Cashflow Schedule'!E474</f>
        <v/>
      </c>
      <c r="C474" s="21" t="str">
        <f>IF(A474="","",EXP(-Inputs!$C$7*A474))</f>
        <v/>
      </c>
      <c r="D474" s="22" t="str">
        <f t="shared" si="1"/>
        <v/>
      </c>
      <c r="E474" s="22" t="str">
        <f>IF(A474="","",Inputs!$C$6*D474)</f>
        <v/>
      </c>
    </row>
    <row r="475">
      <c r="A475" s="18" t="str">
        <f>'Cashflow Schedule'!B475</f>
        <v/>
      </c>
      <c r="B475" s="18" t="str">
        <f>'Cashflow Schedule'!E475</f>
        <v/>
      </c>
      <c r="C475" s="21" t="str">
        <f>IF(A475="","",EXP(-Inputs!$C$7*A475))</f>
        <v/>
      </c>
      <c r="D475" s="22" t="str">
        <f t="shared" si="1"/>
        <v/>
      </c>
      <c r="E475" s="22" t="str">
        <f>IF(A475="","",Inputs!$C$6*D475)</f>
        <v/>
      </c>
    </row>
    <row r="476">
      <c r="A476" s="18" t="str">
        <f>'Cashflow Schedule'!B476</f>
        <v/>
      </c>
      <c r="B476" s="18" t="str">
        <f>'Cashflow Schedule'!E476</f>
        <v/>
      </c>
      <c r="C476" s="21" t="str">
        <f>IF(A476="","",EXP(-Inputs!$C$7*A476))</f>
        <v/>
      </c>
      <c r="D476" s="22" t="str">
        <f t="shared" si="1"/>
        <v/>
      </c>
      <c r="E476" s="22" t="str">
        <f>IF(A476="","",Inputs!$C$6*D476)</f>
        <v/>
      </c>
    </row>
    <row r="477">
      <c r="A477" s="18" t="str">
        <f>'Cashflow Schedule'!B477</f>
        <v/>
      </c>
      <c r="B477" s="18" t="str">
        <f>'Cashflow Schedule'!E477</f>
        <v/>
      </c>
      <c r="C477" s="21" t="str">
        <f>IF(A477="","",EXP(-Inputs!$C$7*A477))</f>
        <v/>
      </c>
      <c r="D477" s="22" t="str">
        <f t="shared" si="1"/>
        <v/>
      </c>
      <c r="E477" s="22" t="str">
        <f>IF(A477="","",Inputs!$C$6*D477)</f>
        <v/>
      </c>
    </row>
    <row r="478">
      <c r="A478" s="18" t="str">
        <f>'Cashflow Schedule'!B478</f>
        <v/>
      </c>
      <c r="B478" s="18" t="str">
        <f>'Cashflow Schedule'!E478</f>
        <v/>
      </c>
      <c r="C478" s="21" t="str">
        <f>IF(A478="","",EXP(-Inputs!$C$7*A478))</f>
        <v/>
      </c>
      <c r="D478" s="22" t="str">
        <f t="shared" si="1"/>
        <v/>
      </c>
      <c r="E478" s="22" t="str">
        <f>IF(A478="","",Inputs!$C$6*D478)</f>
        <v/>
      </c>
    </row>
    <row r="479">
      <c r="A479" s="18" t="str">
        <f>'Cashflow Schedule'!B479</f>
        <v/>
      </c>
      <c r="B479" s="18" t="str">
        <f>'Cashflow Schedule'!E479</f>
        <v/>
      </c>
      <c r="C479" s="21" t="str">
        <f>IF(A479="","",EXP(-Inputs!$C$7*A479))</f>
        <v/>
      </c>
      <c r="D479" s="22" t="str">
        <f t="shared" si="1"/>
        <v/>
      </c>
      <c r="E479" s="22" t="str">
        <f>IF(A479="","",Inputs!$C$6*D479)</f>
        <v/>
      </c>
    </row>
    <row r="480">
      <c r="A480" s="18" t="str">
        <f>'Cashflow Schedule'!B480</f>
        <v/>
      </c>
      <c r="B480" s="18" t="str">
        <f>'Cashflow Schedule'!E480</f>
        <v/>
      </c>
      <c r="C480" s="21" t="str">
        <f>IF(A480="","",EXP(-Inputs!$C$7*A480))</f>
        <v/>
      </c>
      <c r="D480" s="22" t="str">
        <f t="shared" si="1"/>
        <v/>
      </c>
      <c r="E480" s="22" t="str">
        <f>IF(A480="","",Inputs!$C$6*D480)</f>
        <v/>
      </c>
    </row>
    <row r="481">
      <c r="A481" s="18" t="str">
        <f>'Cashflow Schedule'!B481</f>
        <v/>
      </c>
      <c r="B481" s="18" t="str">
        <f>'Cashflow Schedule'!E481</f>
        <v/>
      </c>
      <c r="C481" s="21" t="str">
        <f>IF(A481="","",EXP(-Inputs!$C$7*A481))</f>
        <v/>
      </c>
      <c r="D481" s="22" t="str">
        <f t="shared" si="1"/>
        <v/>
      </c>
      <c r="E481" s="22" t="str">
        <f>IF(A481="","",Inputs!$C$6*D481)</f>
        <v/>
      </c>
    </row>
    <row r="482">
      <c r="A482" s="18" t="str">
        <f>'Cashflow Schedule'!B482</f>
        <v/>
      </c>
      <c r="B482" s="18" t="str">
        <f>'Cashflow Schedule'!E482</f>
        <v/>
      </c>
      <c r="C482" s="21" t="str">
        <f>IF(A482="","",EXP(-Inputs!$C$7*A482))</f>
        <v/>
      </c>
      <c r="D482" s="22" t="str">
        <f t="shared" si="1"/>
        <v/>
      </c>
      <c r="E482" s="22" t="str">
        <f>IF(A482="","",Inputs!$C$6*D482)</f>
        <v/>
      </c>
    </row>
    <row r="483">
      <c r="A483" s="18" t="str">
        <f>'Cashflow Schedule'!B483</f>
        <v/>
      </c>
      <c r="B483" s="18" t="str">
        <f>'Cashflow Schedule'!E483</f>
        <v/>
      </c>
      <c r="C483" s="21" t="str">
        <f>IF(A483="","",EXP(-Inputs!$C$7*A483))</f>
        <v/>
      </c>
      <c r="D483" s="22" t="str">
        <f t="shared" si="1"/>
        <v/>
      </c>
      <c r="E483" s="22" t="str">
        <f>IF(A483="","",Inputs!$C$6*D483)</f>
        <v/>
      </c>
    </row>
    <row r="484">
      <c r="A484" s="18" t="str">
        <f>'Cashflow Schedule'!B484</f>
        <v/>
      </c>
      <c r="B484" s="18" t="str">
        <f>'Cashflow Schedule'!E484</f>
        <v/>
      </c>
      <c r="C484" s="21" t="str">
        <f>IF(A484="","",EXP(-Inputs!$C$7*A484))</f>
        <v/>
      </c>
      <c r="D484" s="22" t="str">
        <f t="shared" si="1"/>
        <v/>
      </c>
      <c r="E484" s="22" t="str">
        <f>IF(A484="","",Inputs!$C$6*D484)</f>
        <v/>
      </c>
    </row>
    <row r="485">
      <c r="A485" s="18" t="str">
        <f>'Cashflow Schedule'!B485</f>
        <v/>
      </c>
      <c r="B485" s="18" t="str">
        <f>'Cashflow Schedule'!E485</f>
        <v/>
      </c>
      <c r="C485" s="21" t="str">
        <f>IF(A485="","",EXP(-Inputs!$C$7*A485))</f>
        <v/>
      </c>
      <c r="D485" s="22" t="str">
        <f t="shared" si="1"/>
        <v/>
      </c>
      <c r="E485" s="22" t="str">
        <f>IF(A485="","",Inputs!$C$6*D485)</f>
        <v/>
      </c>
    </row>
    <row r="486">
      <c r="A486" s="18" t="str">
        <f>'Cashflow Schedule'!B486</f>
        <v/>
      </c>
      <c r="B486" s="18" t="str">
        <f>'Cashflow Schedule'!E486</f>
        <v/>
      </c>
      <c r="C486" s="21" t="str">
        <f>IF(A486="","",EXP(-Inputs!$C$7*A486))</f>
        <v/>
      </c>
      <c r="D486" s="22" t="str">
        <f t="shared" si="1"/>
        <v/>
      </c>
      <c r="E486" s="22" t="str">
        <f>IF(A486="","",Inputs!$C$6*D486)</f>
        <v/>
      </c>
    </row>
    <row r="487">
      <c r="A487" s="18" t="str">
        <f>'Cashflow Schedule'!B487</f>
        <v/>
      </c>
      <c r="B487" s="18" t="str">
        <f>'Cashflow Schedule'!E487</f>
        <v/>
      </c>
      <c r="C487" s="21" t="str">
        <f>IF(A487="","",EXP(-Inputs!$C$7*A487))</f>
        <v/>
      </c>
      <c r="D487" s="22" t="str">
        <f t="shared" si="1"/>
        <v/>
      </c>
      <c r="E487" s="22" t="str">
        <f>IF(A487="","",Inputs!$C$6*D487)</f>
        <v/>
      </c>
    </row>
    <row r="488">
      <c r="A488" s="18" t="str">
        <f>'Cashflow Schedule'!B488</f>
        <v/>
      </c>
      <c r="B488" s="18" t="str">
        <f>'Cashflow Schedule'!E488</f>
        <v/>
      </c>
      <c r="C488" s="21" t="str">
        <f>IF(A488="","",EXP(-Inputs!$C$7*A488))</f>
        <v/>
      </c>
      <c r="D488" s="22" t="str">
        <f t="shared" si="1"/>
        <v/>
      </c>
      <c r="E488" s="22" t="str">
        <f>IF(A488="","",Inputs!$C$6*D488)</f>
        <v/>
      </c>
    </row>
    <row r="489">
      <c r="A489" s="18" t="str">
        <f>'Cashflow Schedule'!B489</f>
        <v/>
      </c>
      <c r="B489" s="18" t="str">
        <f>'Cashflow Schedule'!E489</f>
        <v/>
      </c>
      <c r="C489" s="21" t="str">
        <f>IF(A489="","",EXP(-Inputs!$C$7*A489))</f>
        <v/>
      </c>
      <c r="D489" s="22" t="str">
        <f t="shared" si="1"/>
        <v/>
      </c>
      <c r="E489" s="22" t="str">
        <f>IF(A489="","",Inputs!$C$6*D489)</f>
        <v/>
      </c>
    </row>
    <row r="490">
      <c r="A490" s="18" t="str">
        <f>'Cashflow Schedule'!B490</f>
        <v/>
      </c>
      <c r="B490" s="18" t="str">
        <f>'Cashflow Schedule'!E490</f>
        <v/>
      </c>
      <c r="C490" s="21" t="str">
        <f>IF(A490="","",EXP(-Inputs!$C$7*A490))</f>
        <v/>
      </c>
      <c r="D490" s="22" t="str">
        <f t="shared" si="1"/>
        <v/>
      </c>
      <c r="E490" s="22" t="str">
        <f>IF(A490="","",Inputs!$C$6*D490)</f>
        <v/>
      </c>
    </row>
    <row r="491">
      <c r="A491" s="18" t="str">
        <f>'Cashflow Schedule'!B491</f>
        <v/>
      </c>
      <c r="B491" s="18" t="str">
        <f>'Cashflow Schedule'!E491</f>
        <v/>
      </c>
      <c r="C491" s="21" t="str">
        <f>IF(A491="","",EXP(-Inputs!$C$7*A491))</f>
        <v/>
      </c>
      <c r="D491" s="22" t="str">
        <f t="shared" si="1"/>
        <v/>
      </c>
      <c r="E491" s="22" t="str">
        <f>IF(A491="","",Inputs!$C$6*D491)</f>
        <v/>
      </c>
    </row>
    <row r="492">
      <c r="A492" s="18" t="str">
        <f>'Cashflow Schedule'!B492</f>
        <v/>
      </c>
      <c r="B492" s="18" t="str">
        <f>'Cashflow Schedule'!E492</f>
        <v/>
      </c>
      <c r="C492" s="21" t="str">
        <f>IF(A492="","",EXP(-Inputs!$C$7*A492))</f>
        <v/>
      </c>
      <c r="D492" s="22" t="str">
        <f t="shared" si="1"/>
        <v/>
      </c>
      <c r="E492" s="22" t="str">
        <f>IF(A492="","",Inputs!$C$6*D492)</f>
        <v/>
      </c>
    </row>
    <row r="493">
      <c r="A493" s="18" t="str">
        <f>'Cashflow Schedule'!B493</f>
        <v/>
      </c>
      <c r="B493" s="18" t="str">
        <f>'Cashflow Schedule'!E493</f>
        <v/>
      </c>
      <c r="C493" s="21" t="str">
        <f>IF(A493="","",EXP(-Inputs!$C$7*A493))</f>
        <v/>
      </c>
      <c r="D493" s="22" t="str">
        <f t="shared" si="1"/>
        <v/>
      </c>
      <c r="E493" s="22" t="str">
        <f>IF(A493="","",Inputs!$C$6*D493)</f>
        <v/>
      </c>
    </row>
    <row r="494">
      <c r="A494" s="18" t="str">
        <f>'Cashflow Schedule'!B494</f>
        <v/>
      </c>
      <c r="B494" s="18" t="str">
        <f>'Cashflow Schedule'!E494</f>
        <v/>
      </c>
      <c r="C494" s="21" t="str">
        <f>IF(A494="","",EXP(-Inputs!$C$7*A494))</f>
        <v/>
      </c>
      <c r="D494" s="22" t="str">
        <f t="shared" si="1"/>
        <v/>
      </c>
      <c r="E494" s="22" t="str">
        <f>IF(A494="","",Inputs!$C$6*D494)</f>
        <v/>
      </c>
    </row>
    <row r="495">
      <c r="A495" s="18" t="str">
        <f>'Cashflow Schedule'!B495</f>
        <v/>
      </c>
      <c r="B495" s="18" t="str">
        <f>'Cashflow Schedule'!E495</f>
        <v/>
      </c>
      <c r="C495" s="21" t="str">
        <f>IF(A495="","",EXP(-Inputs!$C$7*A495))</f>
        <v/>
      </c>
      <c r="D495" s="22" t="str">
        <f t="shared" si="1"/>
        <v/>
      </c>
      <c r="E495" s="22" t="str">
        <f>IF(A495="","",Inputs!$C$6*D495)</f>
        <v/>
      </c>
    </row>
    <row r="496">
      <c r="A496" s="18" t="str">
        <f>'Cashflow Schedule'!B496</f>
        <v/>
      </c>
      <c r="B496" s="18" t="str">
        <f>'Cashflow Schedule'!E496</f>
        <v/>
      </c>
      <c r="C496" s="21" t="str">
        <f>IF(A496="","",EXP(-Inputs!$C$7*A496))</f>
        <v/>
      </c>
      <c r="D496" s="22" t="str">
        <f t="shared" si="1"/>
        <v/>
      </c>
      <c r="E496" s="22" t="str">
        <f>IF(A496="","",Inputs!$C$6*D496)</f>
        <v/>
      </c>
    </row>
    <row r="497">
      <c r="A497" s="18" t="str">
        <f>'Cashflow Schedule'!B497</f>
        <v/>
      </c>
      <c r="B497" s="18" t="str">
        <f>'Cashflow Schedule'!E497</f>
        <v/>
      </c>
      <c r="C497" s="21" t="str">
        <f>IF(A497="","",EXP(-Inputs!$C$7*A497))</f>
        <v/>
      </c>
      <c r="D497" s="22" t="str">
        <f t="shared" si="1"/>
        <v/>
      </c>
      <c r="E497" s="22" t="str">
        <f>IF(A497="","",Inputs!$C$6*D497)</f>
        <v/>
      </c>
    </row>
    <row r="498">
      <c r="A498" s="18" t="str">
        <f>'Cashflow Schedule'!B498</f>
        <v/>
      </c>
      <c r="B498" s="18" t="str">
        <f>'Cashflow Schedule'!E498</f>
        <v/>
      </c>
      <c r="C498" s="21" t="str">
        <f>IF(A498="","",EXP(-Inputs!$C$7*A498))</f>
        <v/>
      </c>
      <c r="D498" s="22" t="str">
        <f t="shared" si="1"/>
        <v/>
      </c>
      <c r="E498" s="22" t="str">
        <f>IF(A498="","",Inputs!$C$6*D498)</f>
        <v/>
      </c>
    </row>
    <row r="499">
      <c r="A499" s="18" t="str">
        <f>'Cashflow Schedule'!B499</f>
        <v/>
      </c>
      <c r="B499" s="18" t="str">
        <f>'Cashflow Schedule'!E499</f>
        <v/>
      </c>
      <c r="C499" s="21" t="str">
        <f>IF(A499="","",EXP(-Inputs!$C$7*A499))</f>
        <v/>
      </c>
      <c r="D499" s="22" t="str">
        <f t="shared" si="1"/>
        <v/>
      </c>
      <c r="E499" s="22" t="str">
        <f>IF(A499="","",Inputs!$C$6*D499)</f>
        <v/>
      </c>
    </row>
    <row r="500">
      <c r="A500" s="18" t="str">
        <f>'Cashflow Schedule'!B500</f>
        <v/>
      </c>
      <c r="B500" s="18" t="str">
        <f>'Cashflow Schedule'!E500</f>
        <v/>
      </c>
      <c r="C500" s="21" t="str">
        <f>IF(A500="","",EXP(-Inputs!$C$7*A500))</f>
        <v/>
      </c>
      <c r="D500" s="22" t="str">
        <f t="shared" si="1"/>
        <v/>
      </c>
      <c r="E500" s="22" t="str">
        <f>IF(A500="","",Inputs!$C$6*D500)</f>
        <v/>
      </c>
    </row>
    <row r="501">
      <c r="A501" s="18" t="str">
        <f>'Cashflow Schedule'!B501</f>
        <v/>
      </c>
      <c r="B501" s="18" t="str">
        <f>'Cashflow Schedule'!E501</f>
        <v/>
      </c>
      <c r="C501" s="21" t="str">
        <f>IF(A501="","",EXP(-Inputs!$C$7*A501))</f>
        <v/>
      </c>
      <c r="D501" s="22" t="str">
        <f t="shared" si="1"/>
        <v/>
      </c>
      <c r="E501" s="22" t="str">
        <f>IF(A501="","",Inputs!$C$6*D501)</f>
        <v/>
      </c>
    </row>
    <row r="502">
      <c r="A502" s="18" t="str">
        <f>'Cashflow Schedule'!B502</f>
        <v/>
      </c>
      <c r="B502" s="18" t="str">
        <f>'Cashflow Schedule'!E502</f>
        <v/>
      </c>
      <c r="C502" s="21" t="str">
        <f>IF(A502="","",EXP(-Inputs!$C$7*A502))</f>
        <v/>
      </c>
      <c r="D502" s="22" t="str">
        <f t="shared" si="1"/>
        <v/>
      </c>
      <c r="E502" s="22" t="str">
        <f>IF(A502="","",Inputs!$C$6*D502)</f>
        <v/>
      </c>
    </row>
    <row r="503">
      <c r="A503" s="18" t="str">
        <f>'Cashflow Schedule'!B503</f>
        <v/>
      </c>
      <c r="B503" s="18" t="str">
        <f>'Cashflow Schedule'!E503</f>
        <v/>
      </c>
      <c r="C503" s="21" t="str">
        <f>IF(A503="","",EXP(-Inputs!$C$7*A503))</f>
        <v/>
      </c>
      <c r="D503" s="22" t="str">
        <f t="shared" si="1"/>
        <v/>
      </c>
      <c r="E503" s="22" t="str">
        <f>IF(A503="","",Inputs!$C$6*D503)</f>
        <v/>
      </c>
    </row>
    <row r="504">
      <c r="A504" s="18" t="str">
        <f>'Cashflow Schedule'!B504</f>
        <v/>
      </c>
      <c r="B504" s="18" t="str">
        <f>'Cashflow Schedule'!E504</f>
        <v/>
      </c>
      <c r="C504" s="21" t="str">
        <f>IF(A504="","",EXP(-Inputs!$C$7*A504))</f>
        <v/>
      </c>
      <c r="D504" s="22" t="str">
        <f t="shared" si="1"/>
        <v/>
      </c>
      <c r="E504" s="22" t="str">
        <f>IF(A504="","",Inputs!$C$6*D504)</f>
        <v/>
      </c>
    </row>
    <row r="505">
      <c r="A505" s="18" t="str">
        <f>'Cashflow Schedule'!B505</f>
        <v/>
      </c>
      <c r="B505" s="18" t="str">
        <f>'Cashflow Schedule'!E505</f>
        <v/>
      </c>
      <c r="C505" s="21" t="str">
        <f>IF(A505="","",EXP(-Inputs!$C$7*A505))</f>
        <v/>
      </c>
      <c r="D505" s="22" t="str">
        <f t="shared" si="1"/>
        <v/>
      </c>
      <c r="E505" s="22" t="str">
        <f>IF(A505="","",Inputs!$C$6*D505)</f>
        <v/>
      </c>
    </row>
    <row r="506">
      <c r="A506" s="18" t="str">
        <f>'Cashflow Schedule'!B506</f>
        <v/>
      </c>
      <c r="B506" s="18" t="str">
        <f>'Cashflow Schedule'!E506</f>
        <v/>
      </c>
      <c r="C506" s="21" t="str">
        <f>IF(A506="","",EXP(-Inputs!$C$7*A506))</f>
        <v/>
      </c>
      <c r="D506" s="22" t="str">
        <f t="shared" si="1"/>
        <v/>
      </c>
      <c r="E506" s="22" t="str">
        <f>IF(A506="","",Inputs!$C$6*D506)</f>
        <v/>
      </c>
    </row>
    <row r="507">
      <c r="A507" s="18" t="str">
        <f>'Cashflow Schedule'!B507</f>
        <v/>
      </c>
      <c r="B507" s="18" t="str">
        <f>'Cashflow Schedule'!E507</f>
        <v/>
      </c>
      <c r="C507" s="21" t="str">
        <f>IF(A507="","",EXP(-Inputs!$C$7*A507))</f>
        <v/>
      </c>
      <c r="D507" s="22" t="str">
        <f t="shared" si="1"/>
        <v/>
      </c>
      <c r="E507" s="22" t="str">
        <f>IF(A507="","",Inputs!$C$6*D507)</f>
        <v/>
      </c>
    </row>
    <row r="508">
      <c r="A508" s="18" t="str">
        <f>'Cashflow Schedule'!B508</f>
        <v/>
      </c>
      <c r="B508" s="18" t="str">
        <f>'Cashflow Schedule'!E508</f>
        <v/>
      </c>
      <c r="C508" s="21" t="str">
        <f>IF(A508="","",EXP(-Inputs!$C$7*A508))</f>
        <v/>
      </c>
      <c r="D508" s="22" t="str">
        <f t="shared" si="1"/>
        <v/>
      </c>
      <c r="E508" s="22" t="str">
        <f>IF(A508="","",Inputs!$C$6*D508)</f>
        <v/>
      </c>
    </row>
    <row r="509">
      <c r="A509" s="18" t="str">
        <f>'Cashflow Schedule'!B509</f>
        <v/>
      </c>
      <c r="B509" s="18" t="str">
        <f>'Cashflow Schedule'!E509</f>
        <v/>
      </c>
      <c r="C509" s="21" t="str">
        <f>IF(A509="","",EXP(-Inputs!$C$7*A509))</f>
        <v/>
      </c>
      <c r="D509" s="22" t="str">
        <f t="shared" si="1"/>
        <v/>
      </c>
      <c r="E509" s="22" t="str">
        <f>IF(A509="","",Inputs!$C$6*D509)</f>
        <v/>
      </c>
    </row>
    <row r="510">
      <c r="A510" s="18" t="str">
        <f>'Cashflow Schedule'!B510</f>
        <v/>
      </c>
      <c r="B510" s="18" t="str">
        <f>'Cashflow Schedule'!E510</f>
        <v/>
      </c>
      <c r="C510" s="21" t="str">
        <f>IF(A510="","",EXP(-Inputs!$C$7*A510))</f>
        <v/>
      </c>
      <c r="D510" s="22" t="str">
        <f t="shared" si="1"/>
        <v/>
      </c>
      <c r="E510" s="22" t="str">
        <f>IF(A510="","",Inputs!$C$6*D510)</f>
        <v/>
      </c>
    </row>
    <row r="511">
      <c r="A511" s="18" t="str">
        <f>'Cashflow Schedule'!B511</f>
        <v/>
      </c>
      <c r="B511" s="18" t="str">
        <f>'Cashflow Schedule'!E511</f>
        <v/>
      </c>
      <c r="C511" s="21" t="str">
        <f>IF(A511="","",EXP(-Inputs!$C$7*A511))</f>
        <v/>
      </c>
      <c r="D511" s="22" t="str">
        <f t="shared" si="1"/>
        <v/>
      </c>
      <c r="E511" s="22" t="str">
        <f>IF(A511="","",Inputs!$C$6*D511)</f>
        <v/>
      </c>
    </row>
    <row r="512">
      <c r="A512" s="18" t="str">
        <f>'Cashflow Schedule'!B512</f>
        <v/>
      </c>
      <c r="B512" s="18" t="str">
        <f>'Cashflow Schedule'!E512</f>
        <v/>
      </c>
      <c r="C512" s="21" t="str">
        <f>IF(A512="","",EXP(-Inputs!$C$7*A512))</f>
        <v/>
      </c>
      <c r="D512" s="22" t="str">
        <f t="shared" si="1"/>
        <v/>
      </c>
      <c r="E512" s="22" t="str">
        <f>IF(A512="","",Inputs!$C$6*D512)</f>
        <v/>
      </c>
    </row>
    <row r="513">
      <c r="A513" s="18" t="str">
        <f>'Cashflow Schedule'!B513</f>
        <v/>
      </c>
      <c r="B513" s="18" t="str">
        <f>'Cashflow Schedule'!E513</f>
        <v/>
      </c>
      <c r="C513" s="21" t="str">
        <f>IF(A513="","",EXP(-Inputs!$C$7*A513))</f>
        <v/>
      </c>
      <c r="D513" s="22" t="str">
        <f t="shared" si="1"/>
        <v/>
      </c>
      <c r="E513" s="22" t="str">
        <f>IF(A513="","",Inputs!$C$6*D513)</f>
        <v/>
      </c>
    </row>
    <row r="514">
      <c r="A514" s="18" t="str">
        <f>'Cashflow Schedule'!B514</f>
        <v/>
      </c>
      <c r="B514" s="18" t="str">
        <f>'Cashflow Schedule'!E514</f>
        <v/>
      </c>
      <c r="C514" s="21" t="str">
        <f>IF(A514="","",EXP(-Inputs!$C$7*A514))</f>
        <v/>
      </c>
      <c r="D514" s="22" t="str">
        <f t="shared" si="1"/>
        <v/>
      </c>
      <c r="E514" s="22" t="str">
        <f>IF(A514="","",Inputs!$C$6*D514)</f>
        <v/>
      </c>
    </row>
    <row r="515">
      <c r="A515" s="18" t="str">
        <f>'Cashflow Schedule'!B515</f>
        <v/>
      </c>
      <c r="B515" s="18" t="str">
        <f>'Cashflow Schedule'!E515</f>
        <v/>
      </c>
      <c r="C515" s="21" t="str">
        <f>IF(A515="","",EXP(-Inputs!$C$7*A515))</f>
        <v/>
      </c>
      <c r="D515" s="22" t="str">
        <f t="shared" si="1"/>
        <v/>
      </c>
      <c r="E515" s="22" t="str">
        <f>IF(A515="","",Inputs!$C$6*D515)</f>
        <v/>
      </c>
    </row>
    <row r="516">
      <c r="A516" s="18" t="str">
        <f>'Cashflow Schedule'!B516</f>
        <v/>
      </c>
      <c r="B516" s="18" t="str">
        <f>'Cashflow Schedule'!E516</f>
        <v/>
      </c>
      <c r="C516" s="21" t="str">
        <f>IF(A516="","",EXP(-Inputs!$C$7*A516))</f>
        <v/>
      </c>
      <c r="D516" s="22" t="str">
        <f t="shared" si="1"/>
        <v/>
      </c>
      <c r="E516" s="22" t="str">
        <f>IF(A516="","",Inputs!$C$6*D516)</f>
        <v/>
      </c>
    </row>
    <row r="517">
      <c r="A517" s="18" t="str">
        <f>'Cashflow Schedule'!B517</f>
        <v/>
      </c>
      <c r="B517" s="18" t="str">
        <f>'Cashflow Schedule'!E517</f>
        <v/>
      </c>
      <c r="C517" s="21" t="str">
        <f>IF(A517="","",EXP(-Inputs!$C$7*A517))</f>
        <v/>
      </c>
      <c r="D517" s="22" t="str">
        <f t="shared" si="1"/>
        <v/>
      </c>
      <c r="E517" s="22" t="str">
        <f>IF(A517="","",Inputs!$C$6*D517)</f>
        <v/>
      </c>
    </row>
    <row r="518">
      <c r="A518" s="18" t="str">
        <f>'Cashflow Schedule'!B518</f>
        <v/>
      </c>
      <c r="B518" s="18" t="str">
        <f>'Cashflow Schedule'!E518</f>
        <v/>
      </c>
      <c r="C518" s="21" t="str">
        <f>IF(A518="","",EXP(-Inputs!$C$7*A518))</f>
        <v/>
      </c>
      <c r="D518" s="22" t="str">
        <f t="shared" si="1"/>
        <v/>
      </c>
      <c r="E518" s="22" t="str">
        <f>IF(A518="","",Inputs!$C$6*D518)</f>
        <v/>
      </c>
    </row>
    <row r="519">
      <c r="A519" s="18" t="str">
        <f>'Cashflow Schedule'!B519</f>
        <v/>
      </c>
      <c r="B519" s="18" t="str">
        <f>'Cashflow Schedule'!E519</f>
        <v/>
      </c>
      <c r="C519" s="21" t="str">
        <f>IF(A519="","",EXP(-Inputs!$C$7*A519))</f>
        <v/>
      </c>
      <c r="D519" s="22" t="str">
        <f t="shared" si="1"/>
        <v/>
      </c>
      <c r="E519" s="22" t="str">
        <f>IF(A519="","",Inputs!$C$6*D519)</f>
        <v/>
      </c>
    </row>
    <row r="520">
      <c r="A520" s="18" t="str">
        <f>'Cashflow Schedule'!B520</f>
        <v/>
      </c>
      <c r="B520" s="18" t="str">
        <f>'Cashflow Schedule'!E520</f>
        <v/>
      </c>
      <c r="C520" s="21" t="str">
        <f>IF(A520="","",EXP(-Inputs!$C$7*A520))</f>
        <v/>
      </c>
      <c r="D520" s="22" t="str">
        <f t="shared" si="1"/>
        <v/>
      </c>
      <c r="E520" s="22" t="str">
        <f>IF(A520="","",Inputs!$C$6*D520)</f>
        <v/>
      </c>
    </row>
    <row r="521">
      <c r="A521" s="18" t="str">
        <f>'Cashflow Schedule'!B521</f>
        <v/>
      </c>
      <c r="B521" s="18" t="str">
        <f>'Cashflow Schedule'!E521</f>
        <v/>
      </c>
      <c r="C521" s="21" t="str">
        <f>IF(A521="","",EXP(-Inputs!$C$7*A521))</f>
        <v/>
      </c>
      <c r="D521" s="22" t="str">
        <f t="shared" si="1"/>
        <v/>
      </c>
      <c r="E521" s="22" t="str">
        <f>IF(A521="","",Inputs!$C$6*D521)</f>
        <v/>
      </c>
    </row>
    <row r="522">
      <c r="A522" s="18" t="str">
        <f>'Cashflow Schedule'!B522</f>
        <v/>
      </c>
      <c r="B522" s="18" t="str">
        <f>'Cashflow Schedule'!E522</f>
        <v/>
      </c>
      <c r="C522" s="21" t="str">
        <f>IF(A522="","",EXP(-Inputs!$C$7*A522))</f>
        <v/>
      </c>
      <c r="D522" s="22" t="str">
        <f t="shared" si="1"/>
        <v/>
      </c>
      <c r="E522" s="22" t="str">
        <f>IF(A522="","",Inputs!$C$6*D522)</f>
        <v/>
      </c>
    </row>
    <row r="523">
      <c r="A523" s="18" t="str">
        <f>'Cashflow Schedule'!B523</f>
        <v/>
      </c>
      <c r="B523" s="18" t="str">
        <f>'Cashflow Schedule'!E523</f>
        <v/>
      </c>
      <c r="C523" s="21" t="str">
        <f>IF(A523="","",EXP(-Inputs!$C$7*A523))</f>
        <v/>
      </c>
      <c r="D523" s="22" t="str">
        <f t="shared" si="1"/>
        <v/>
      </c>
      <c r="E523" s="22" t="str">
        <f>IF(A523="","",Inputs!$C$6*D523)</f>
        <v/>
      </c>
    </row>
    <row r="524">
      <c r="A524" s="18" t="str">
        <f>'Cashflow Schedule'!B524</f>
        <v/>
      </c>
      <c r="B524" s="18" t="str">
        <f>'Cashflow Schedule'!E524</f>
        <v/>
      </c>
      <c r="C524" s="21" t="str">
        <f>IF(A524="","",EXP(-Inputs!$C$7*A524))</f>
        <v/>
      </c>
      <c r="D524" s="22" t="str">
        <f t="shared" si="1"/>
        <v/>
      </c>
      <c r="E524" s="22" t="str">
        <f>IF(A524="","",Inputs!$C$6*D524)</f>
        <v/>
      </c>
    </row>
    <row r="525">
      <c r="A525" s="18" t="str">
        <f>'Cashflow Schedule'!B525</f>
        <v/>
      </c>
      <c r="B525" s="18" t="str">
        <f>'Cashflow Schedule'!E525</f>
        <v/>
      </c>
      <c r="C525" s="21" t="str">
        <f>IF(A525="","",EXP(-Inputs!$C$7*A525))</f>
        <v/>
      </c>
      <c r="D525" s="22" t="str">
        <f t="shared" si="1"/>
        <v/>
      </c>
      <c r="E525" s="22" t="str">
        <f>IF(A525="","",Inputs!$C$6*D525)</f>
        <v/>
      </c>
    </row>
    <row r="526">
      <c r="A526" s="18" t="str">
        <f>'Cashflow Schedule'!B526</f>
        <v/>
      </c>
      <c r="B526" s="18" t="str">
        <f>'Cashflow Schedule'!E526</f>
        <v/>
      </c>
      <c r="C526" s="21" t="str">
        <f>IF(A526="","",EXP(-Inputs!$C$7*A526))</f>
        <v/>
      </c>
      <c r="D526" s="22" t="str">
        <f t="shared" si="1"/>
        <v/>
      </c>
      <c r="E526" s="22" t="str">
        <f>IF(A526="","",Inputs!$C$6*D526)</f>
        <v/>
      </c>
    </row>
    <row r="527">
      <c r="A527" s="18" t="str">
        <f>'Cashflow Schedule'!B527</f>
        <v/>
      </c>
      <c r="B527" s="18" t="str">
        <f>'Cashflow Schedule'!E527</f>
        <v/>
      </c>
      <c r="C527" s="21" t="str">
        <f>IF(A527="","",EXP(-Inputs!$C$7*A527))</f>
        <v/>
      </c>
      <c r="D527" s="22" t="str">
        <f t="shared" si="1"/>
        <v/>
      </c>
      <c r="E527" s="22" t="str">
        <f>IF(A527="","",Inputs!$C$6*D527)</f>
        <v/>
      </c>
    </row>
    <row r="528">
      <c r="A528" s="18" t="str">
        <f>'Cashflow Schedule'!B528</f>
        <v/>
      </c>
      <c r="B528" s="18" t="str">
        <f>'Cashflow Schedule'!E528</f>
        <v/>
      </c>
      <c r="C528" s="21" t="str">
        <f>IF(A528="","",EXP(-Inputs!$C$7*A528))</f>
        <v/>
      </c>
      <c r="D528" s="22" t="str">
        <f t="shared" si="1"/>
        <v/>
      </c>
      <c r="E528" s="22" t="str">
        <f>IF(A528="","",Inputs!$C$6*D528)</f>
        <v/>
      </c>
    </row>
    <row r="529">
      <c r="A529" s="18" t="str">
        <f>'Cashflow Schedule'!B529</f>
        <v/>
      </c>
      <c r="B529" s="18" t="str">
        <f>'Cashflow Schedule'!E529</f>
        <v/>
      </c>
      <c r="C529" s="21" t="str">
        <f>IF(A529="","",EXP(-Inputs!$C$7*A529))</f>
        <v/>
      </c>
      <c r="D529" s="22" t="str">
        <f t="shared" si="1"/>
        <v/>
      </c>
      <c r="E529" s="22" t="str">
        <f>IF(A529="","",Inputs!$C$6*D529)</f>
        <v/>
      </c>
    </row>
    <row r="530">
      <c r="A530" s="18" t="str">
        <f>'Cashflow Schedule'!B530</f>
        <v/>
      </c>
      <c r="B530" s="18" t="str">
        <f>'Cashflow Schedule'!E530</f>
        <v/>
      </c>
      <c r="C530" s="21" t="str">
        <f>IF(A530="","",EXP(-Inputs!$C$7*A530))</f>
        <v/>
      </c>
      <c r="D530" s="22" t="str">
        <f t="shared" si="1"/>
        <v/>
      </c>
      <c r="E530" s="22" t="str">
        <f>IF(A530="","",Inputs!$C$6*D530)</f>
        <v/>
      </c>
    </row>
    <row r="531">
      <c r="A531" s="18" t="str">
        <f>'Cashflow Schedule'!B531</f>
        <v/>
      </c>
      <c r="B531" s="18" t="str">
        <f>'Cashflow Schedule'!E531</f>
        <v/>
      </c>
      <c r="C531" s="21" t="str">
        <f>IF(A531="","",EXP(-Inputs!$C$7*A531))</f>
        <v/>
      </c>
      <c r="D531" s="22" t="str">
        <f t="shared" si="1"/>
        <v/>
      </c>
      <c r="E531" s="22" t="str">
        <f>IF(A531="","",Inputs!$C$6*D531)</f>
        <v/>
      </c>
    </row>
    <row r="532">
      <c r="A532" s="18" t="str">
        <f>'Cashflow Schedule'!B532</f>
        <v/>
      </c>
      <c r="B532" s="18" t="str">
        <f>'Cashflow Schedule'!E532</f>
        <v/>
      </c>
      <c r="C532" s="21" t="str">
        <f>IF(A532="","",EXP(-Inputs!$C$7*A532))</f>
        <v/>
      </c>
      <c r="D532" s="22" t="str">
        <f t="shared" si="1"/>
        <v/>
      </c>
      <c r="E532" s="22" t="str">
        <f>IF(A532="","",Inputs!$C$6*D532)</f>
        <v/>
      </c>
    </row>
    <row r="533">
      <c r="A533" s="18" t="str">
        <f>'Cashflow Schedule'!B533</f>
        <v/>
      </c>
      <c r="B533" s="18" t="str">
        <f>'Cashflow Schedule'!E533</f>
        <v/>
      </c>
      <c r="C533" s="21" t="str">
        <f>IF(A533="","",EXP(-Inputs!$C$7*A533))</f>
        <v/>
      </c>
      <c r="D533" s="22" t="str">
        <f t="shared" si="1"/>
        <v/>
      </c>
      <c r="E533" s="22" t="str">
        <f>IF(A533="","",Inputs!$C$6*D533)</f>
        <v/>
      </c>
    </row>
    <row r="534">
      <c r="A534" s="18" t="str">
        <f>'Cashflow Schedule'!B534</f>
        <v/>
      </c>
      <c r="B534" s="18" t="str">
        <f>'Cashflow Schedule'!E534</f>
        <v/>
      </c>
      <c r="C534" s="21" t="str">
        <f>IF(A534="","",EXP(-Inputs!$C$7*A534))</f>
        <v/>
      </c>
      <c r="D534" s="22" t="str">
        <f t="shared" si="1"/>
        <v/>
      </c>
      <c r="E534" s="22" t="str">
        <f>IF(A534="","",Inputs!$C$6*D534)</f>
        <v/>
      </c>
    </row>
    <row r="535">
      <c r="A535" s="18" t="str">
        <f>'Cashflow Schedule'!B535</f>
        <v/>
      </c>
      <c r="B535" s="18" t="str">
        <f>'Cashflow Schedule'!E535</f>
        <v/>
      </c>
      <c r="C535" s="21" t="str">
        <f>IF(A535="","",EXP(-Inputs!$C$7*A535))</f>
        <v/>
      </c>
      <c r="D535" s="22" t="str">
        <f t="shared" si="1"/>
        <v/>
      </c>
      <c r="E535" s="22" t="str">
        <f>IF(A535="","",Inputs!$C$6*D535)</f>
        <v/>
      </c>
    </row>
    <row r="536">
      <c r="A536" s="18" t="str">
        <f>'Cashflow Schedule'!B536</f>
        <v/>
      </c>
      <c r="B536" s="18" t="str">
        <f>'Cashflow Schedule'!E536</f>
        <v/>
      </c>
      <c r="C536" s="21" t="str">
        <f>IF(A536="","",EXP(-Inputs!$C$7*A536))</f>
        <v/>
      </c>
      <c r="D536" s="22" t="str">
        <f t="shared" si="1"/>
        <v/>
      </c>
      <c r="E536" s="22" t="str">
        <f>IF(A536="","",Inputs!$C$6*D536)</f>
        <v/>
      </c>
    </row>
    <row r="537">
      <c r="A537" s="18" t="str">
        <f>'Cashflow Schedule'!B537</f>
        <v/>
      </c>
      <c r="B537" s="18" t="str">
        <f>'Cashflow Schedule'!E537</f>
        <v/>
      </c>
      <c r="C537" s="21" t="str">
        <f>IF(A537="","",EXP(-Inputs!$C$7*A537))</f>
        <v/>
      </c>
      <c r="D537" s="22" t="str">
        <f t="shared" si="1"/>
        <v/>
      </c>
      <c r="E537" s="22" t="str">
        <f>IF(A537="","",Inputs!$C$6*D537)</f>
        <v/>
      </c>
    </row>
    <row r="538">
      <c r="A538" s="18" t="str">
        <f>'Cashflow Schedule'!B538</f>
        <v/>
      </c>
      <c r="B538" s="18" t="str">
        <f>'Cashflow Schedule'!E538</f>
        <v/>
      </c>
      <c r="C538" s="21" t="str">
        <f>IF(A538="","",EXP(-Inputs!$C$7*A538))</f>
        <v/>
      </c>
      <c r="D538" s="22" t="str">
        <f t="shared" si="1"/>
        <v/>
      </c>
      <c r="E538" s="22" t="str">
        <f>IF(A538="","",Inputs!$C$6*D538)</f>
        <v/>
      </c>
    </row>
    <row r="539">
      <c r="A539" s="18" t="str">
        <f>'Cashflow Schedule'!B539</f>
        <v/>
      </c>
      <c r="B539" s="18" t="str">
        <f>'Cashflow Schedule'!E539</f>
        <v/>
      </c>
      <c r="C539" s="21" t="str">
        <f>IF(A539="","",EXP(-Inputs!$C$7*A539))</f>
        <v/>
      </c>
      <c r="D539" s="22" t="str">
        <f t="shared" si="1"/>
        <v/>
      </c>
      <c r="E539" s="22" t="str">
        <f>IF(A539="","",Inputs!$C$6*D539)</f>
        <v/>
      </c>
    </row>
    <row r="540">
      <c r="A540" s="18" t="str">
        <f>'Cashflow Schedule'!B540</f>
        <v/>
      </c>
      <c r="B540" s="18" t="str">
        <f>'Cashflow Schedule'!E540</f>
        <v/>
      </c>
      <c r="C540" s="21" t="str">
        <f>IF(A540="","",EXP(-Inputs!$C$7*A540))</f>
        <v/>
      </c>
      <c r="D540" s="22" t="str">
        <f t="shared" si="1"/>
        <v/>
      </c>
      <c r="E540" s="22" t="str">
        <f>IF(A540="","",Inputs!$C$6*D540)</f>
        <v/>
      </c>
    </row>
    <row r="541">
      <c r="A541" s="18" t="str">
        <f>'Cashflow Schedule'!B541</f>
        <v/>
      </c>
      <c r="B541" s="18" t="str">
        <f>'Cashflow Schedule'!E541</f>
        <v/>
      </c>
      <c r="C541" s="21" t="str">
        <f>IF(A541="","",EXP(-Inputs!$C$7*A541))</f>
        <v/>
      </c>
      <c r="D541" s="22" t="str">
        <f t="shared" si="1"/>
        <v/>
      </c>
      <c r="E541" s="22" t="str">
        <f>IF(A541="","",Inputs!$C$6*D541)</f>
        <v/>
      </c>
    </row>
    <row r="542">
      <c r="A542" s="18" t="str">
        <f>'Cashflow Schedule'!B542</f>
        <v/>
      </c>
      <c r="B542" s="18" t="str">
        <f>'Cashflow Schedule'!E542</f>
        <v/>
      </c>
      <c r="C542" s="21" t="str">
        <f>IF(A542="","",EXP(-Inputs!$C$7*A542))</f>
        <v/>
      </c>
      <c r="D542" s="22" t="str">
        <f t="shared" si="1"/>
        <v/>
      </c>
      <c r="E542" s="22" t="str">
        <f>IF(A542="","",Inputs!$C$6*D542)</f>
        <v/>
      </c>
    </row>
    <row r="543">
      <c r="A543" s="18" t="str">
        <f>'Cashflow Schedule'!B543</f>
        <v/>
      </c>
      <c r="B543" s="18" t="str">
        <f>'Cashflow Schedule'!E543</f>
        <v/>
      </c>
      <c r="C543" s="21" t="str">
        <f>IF(A543="","",EXP(-Inputs!$C$7*A543))</f>
        <v/>
      </c>
      <c r="D543" s="22" t="str">
        <f t="shared" si="1"/>
        <v/>
      </c>
      <c r="E543" s="22" t="str">
        <f>IF(A543="","",Inputs!$C$6*D543)</f>
        <v/>
      </c>
    </row>
    <row r="544">
      <c r="A544" s="18" t="str">
        <f>'Cashflow Schedule'!B544</f>
        <v/>
      </c>
      <c r="B544" s="18" t="str">
        <f>'Cashflow Schedule'!E544</f>
        <v/>
      </c>
      <c r="C544" s="21" t="str">
        <f>IF(A544="","",EXP(-Inputs!$C$7*A544))</f>
        <v/>
      </c>
      <c r="D544" s="22" t="str">
        <f t="shared" si="1"/>
        <v/>
      </c>
      <c r="E544" s="22" t="str">
        <f>IF(A544="","",Inputs!$C$6*D544)</f>
        <v/>
      </c>
    </row>
    <row r="545">
      <c r="A545" s="18" t="str">
        <f>'Cashflow Schedule'!B545</f>
        <v/>
      </c>
      <c r="B545" s="18" t="str">
        <f>'Cashflow Schedule'!E545</f>
        <v/>
      </c>
      <c r="C545" s="21" t="str">
        <f>IF(A545="","",EXP(-Inputs!$C$7*A545))</f>
        <v/>
      </c>
      <c r="D545" s="22" t="str">
        <f t="shared" si="1"/>
        <v/>
      </c>
      <c r="E545" s="22" t="str">
        <f>IF(A545="","",Inputs!$C$6*D545)</f>
        <v/>
      </c>
    </row>
    <row r="546">
      <c r="A546" s="18" t="str">
        <f>'Cashflow Schedule'!B546</f>
        <v/>
      </c>
      <c r="B546" s="18" t="str">
        <f>'Cashflow Schedule'!E546</f>
        <v/>
      </c>
      <c r="C546" s="21" t="str">
        <f>IF(A546="","",EXP(-Inputs!$C$7*A546))</f>
        <v/>
      </c>
      <c r="D546" s="22" t="str">
        <f t="shared" si="1"/>
        <v/>
      </c>
      <c r="E546" s="22" t="str">
        <f>IF(A546="","",Inputs!$C$6*D546)</f>
        <v/>
      </c>
    </row>
    <row r="547">
      <c r="A547" s="18" t="str">
        <f>'Cashflow Schedule'!B547</f>
        <v/>
      </c>
      <c r="B547" s="18" t="str">
        <f>'Cashflow Schedule'!E547</f>
        <v/>
      </c>
      <c r="C547" s="21" t="str">
        <f>IF(A547="","",EXP(-Inputs!$C$7*A547))</f>
        <v/>
      </c>
      <c r="D547" s="22" t="str">
        <f t="shared" si="1"/>
        <v/>
      </c>
      <c r="E547" s="22" t="str">
        <f>IF(A547="","",Inputs!$C$6*D547)</f>
        <v/>
      </c>
    </row>
    <row r="548">
      <c r="A548" s="18" t="str">
        <f>'Cashflow Schedule'!B548</f>
        <v/>
      </c>
      <c r="B548" s="18" t="str">
        <f>'Cashflow Schedule'!E548</f>
        <v/>
      </c>
      <c r="C548" s="21" t="str">
        <f>IF(A548="","",EXP(-Inputs!$C$7*A548))</f>
        <v/>
      </c>
      <c r="D548" s="22" t="str">
        <f t="shared" si="1"/>
        <v/>
      </c>
      <c r="E548" s="22" t="str">
        <f>IF(A548="","",Inputs!$C$6*D548)</f>
        <v/>
      </c>
    </row>
    <row r="549">
      <c r="A549" s="18" t="str">
        <f>'Cashflow Schedule'!B549</f>
        <v/>
      </c>
      <c r="B549" s="18" t="str">
        <f>'Cashflow Schedule'!E549</f>
        <v/>
      </c>
      <c r="C549" s="21" t="str">
        <f>IF(A549="","",EXP(-Inputs!$C$7*A549))</f>
        <v/>
      </c>
      <c r="D549" s="22" t="str">
        <f t="shared" si="1"/>
        <v/>
      </c>
      <c r="E549" s="22" t="str">
        <f>IF(A549="","",Inputs!$C$6*D549)</f>
        <v/>
      </c>
    </row>
    <row r="550">
      <c r="A550" s="18" t="str">
        <f>'Cashflow Schedule'!B550</f>
        <v/>
      </c>
      <c r="B550" s="18" t="str">
        <f>'Cashflow Schedule'!E550</f>
        <v/>
      </c>
      <c r="C550" s="21" t="str">
        <f>IF(A550="","",EXP(-Inputs!$C$7*A550))</f>
        <v/>
      </c>
      <c r="D550" s="22" t="str">
        <f t="shared" si="1"/>
        <v/>
      </c>
      <c r="E550" s="22" t="str">
        <f>IF(A550="","",Inputs!$C$6*D550)</f>
        <v/>
      </c>
    </row>
    <row r="551">
      <c r="A551" s="18" t="str">
        <f>'Cashflow Schedule'!B551</f>
        <v/>
      </c>
      <c r="B551" s="18" t="str">
        <f>'Cashflow Schedule'!E551</f>
        <v/>
      </c>
      <c r="C551" s="21" t="str">
        <f>IF(A551="","",EXP(-Inputs!$C$7*A551))</f>
        <v/>
      </c>
      <c r="D551" s="22" t="str">
        <f t="shared" si="1"/>
        <v/>
      </c>
      <c r="E551" s="22" t="str">
        <f>IF(A551="","",Inputs!$C$6*D551)</f>
        <v/>
      </c>
    </row>
    <row r="552">
      <c r="A552" s="18" t="str">
        <f>'Cashflow Schedule'!B552</f>
        <v/>
      </c>
      <c r="B552" s="18" t="str">
        <f>'Cashflow Schedule'!E552</f>
        <v/>
      </c>
      <c r="C552" s="21" t="str">
        <f>IF(A552="","",EXP(-Inputs!$C$7*A552))</f>
        <v/>
      </c>
      <c r="D552" s="22" t="str">
        <f t="shared" si="1"/>
        <v/>
      </c>
      <c r="E552" s="22" t="str">
        <f>IF(A552="","",Inputs!$C$6*D552)</f>
        <v/>
      </c>
    </row>
    <row r="553">
      <c r="A553" s="18" t="str">
        <f>'Cashflow Schedule'!B553</f>
        <v/>
      </c>
      <c r="B553" s="18" t="str">
        <f>'Cashflow Schedule'!E553</f>
        <v/>
      </c>
      <c r="C553" s="21" t="str">
        <f>IF(A553="","",EXP(-Inputs!$C$7*A553))</f>
        <v/>
      </c>
      <c r="D553" s="22" t="str">
        <f t="shared" si="1"/>
        <v/>
      </c>
      <c r="E553" s="22" t="str">
        <f>IF(A553="","",Inputs!$C$6*D553)</f>
        <v/>
      </c>
    </row>
    <row r="554">
      <c r="A554" s="18" t="str">
        <f>'Cashflow Schedule'!B554</f>
        <v/>
      </c>
      <c r="B554" s="18" t="str">
        <f>'Cashflow Schedule'!E554</f>
        <v/>
      </c>
      <c r="C554" s="21" t="str">
        <f>IF(A554="","",EXP(-Inputs!$C$7*A554))</f>
        <v/>
      </c>
      <c r="D554" s="22" t="str">
        <f t="shared" si="1"/>
        <v/>
      </c>
      <c r="E554" s="22" t="str">
        <f>IF(A554="","",Inputs!$C$6*D554)</f>
        <v/>
      </c>
    </row>
    <row r="555">
      <c r="A555" s="18" t="str">
        <f>'Cashflow Schedule'!B555</f>
        <v/>
      </c>
      <c r="B555" s="18" t="str">
        <f>'Cashflow Schedule'!E555</f>
        <v/>
      </c>
      <c r="C555" s="21" t="str">
        <f>IF(A555="","",EXP(-Inputs!$C$7*A555))</f>
        <v/>
      </c>
      <c r="D555" s="22" t="str">
        <f t="shared" si="1"/>
        <v/>
      </c>
      <c r="E555" s="22" t="str">
        <f>IF(A555="","",Inputs!$C$6*D555)</f>
        <v/>
      </c>
    </row>
    <row r="556">
      <c r="A556" s="18" t="str">
        <f>'Cashflow Schedule'!B556</f>
        <v/>
      </c>
      <c r="B556" s="18" t="str">
        <f>'Cashflow Schedule'!E556</f>
        <v/>
      </c>
      <c r="C556" s="21" t="str">
        <f>IF(A556="","",EXP(-Inputs!$C$7*A556))</f>
        <v/>
      </c>
      <c r="D556" s="22" t="str">
        <f t="shared" si="1"/>
        <v/>
      </c>
      <c r="E556" s="22" t="str">
        <f>IF(A556="","",Inputs!$C$6*D556)</f>
        <v/>
      </c>
    </row>
    <row r="557">
      <c r="A557" s="18" t="str">
        <f>'Cashflow Schedule'!B557</f>
        <v/>
      </c>
      <c r="B557" s="18" t="str">
        <f>'Cashflow Schedule'!E557</f>
        <v/>
      </c>
      <c r="C557" s="21" t="str">
        <f>IF(A557="","",EXP(-Inputs!$C$7*A557))</f>
        <v/>
      </c>
      <c r="D557" s="22" t="str">
        <f t="shared" si="1"/>
        <v/>
      </c>
      <c r="E557" s="22" t="str">
        <f>IF(A557="","",Inputs!$C$6*D557)</f>
        <v/>
      </c>
    </row>
    <row r="558">
      <c r="A558" s="18" t="str">
        <f>'Cashflow Schedule'!B558</f>
        <v/>
      </c>
      <c r="B558" s="18" t="str">
        <f>'Cashflow Schedule'!E558</f>
        <v/>
      </c>
      <c r="C558" s="21" t="str">
        <f>IF(A558="","",EXP(-Inputs!$C$7*A558))</f>
        <v/>
      </c>
      <c r="D558" s="22" t="str">
        <f t="shared" si="1"/>
        <v/>
      </c>
      <c r="E558" s="22" t="str">
        <f>IF(A558="","",Inputs!$C$6*D558)</f>
        <v/>
      </c>
    </row>
    <row r="559">
      <c r="A559" s="18" t="str">
        <f>'Cashflow Schedule'!B559</f>
        <v/>
      </c>
      <c r="B559" s="18" t="str">
        <f>'Cashflow Schedule'!E559</f>
        <v/>
      </c>
      <c r="C559" s="21" t="str">
        <f>IF(A559="","",EXP(-Inputs!$C$7*A559))</f>
        <v/>
      </c>
      <c r="D559" s="22" t="str">
        <f t="shared" si="1"/>
        <v/>
      </c>
      <c r="E559" s="22" t="str">
        <f>IF(A559="","",Inputs!$C$6*D559)</f>
        <v/>
      </c>
    </row>
    <row r="560">
      <c r="A560" s="18" t="str">
        <f>'Cashflow Schedule'!B560</f>
        <v/>
      </c>
      <c r="B560" s="18" t="str">
        <f>'Cashflow Schedule'!E560</f>
        <v/>
      </c>
      <c r="C560" s="21" t="str">
        <f>IF(A560="","",EXP(-Inputs!$C$7*A560))</f>
        <v/>
      </c>
      <c r="D560" s="22" t="str">
        <f t="shared" si="1"/>
        <v/>
      </c>
      <c r="E560" s="22" t="str">
        <f>IF(A560="","",Inputs!$C$6*D560)</f>
        <v/>
      </c>
    </row>
    <row r="561">
      <c r="A561" s="18" t="str">
        <f>'Cashflow Schedule'!B561</f>
        <v/>
      </c>
      <c r="B561" s="18" t="str">
        <f>'Cashflow Schedule'!E561</f>
        <v/>
      </c>
      <c r="C561" s="21" t="str">
        <f>IF(A561="","",EXP(-Inputs!$C$7*A561))</f>
        <v/>
      </c>
      <c r="D561" s="22" t="str">
        <f t="shared" si="1"/>
        <v/>
      </c>
      <c r="E561" s="22" t="str">
        <f>IF(A561="","",Inputs!$C$6*D561)</f>
        <v/>
      </c>
    </row>
    <row r="562">
      <c r="A562" s="18" t="str">
        <f>'Cashflow Schedule'!B562</f>
        <v/>
      </c>
      <c r="B562" s="18" t="str">
        <f>'Cashflow Schedule'!E562</f>
        <v/>
      </c>
      <c r="C562" s="21" t="str">
        <f>IF(A562="","",EXP(-Inputs!$C$7*A562))</f>
        <v/>
      </c>
      <c r="D562" s="22" t="str">
        <f t="shared" si="1"/>
        <v/>
      </c>
      <c r="E562" s="22" t="str">
        <f>IF(A562="","",Inputs!$C$6*D562)</f>
        <v/>
      </c>
    </row>
    <row r="563">
      <c r="A563" s="18" t="str">
        <f>'Cashflow Schedule'!B563</f>
        <v/>
      </c>
      <c r="B563" s="18" t="str">
        <f>'Cashflow Schedule'!E563</f>
        <v/>
      </c>
      <c r="C563" s="21" t="str">
        <f>IF(A563="","",EXP(-Inputs!$C$7*A563))</f>
        <v/>
      </c>
      <c r="D563" s="22" t="str">
        <f t="shared" si="1"/>
        <v/>
      </c>
      <c r="E563" s="22" t="str">
        <f>IF(A563="","",Inputs!$C$6*D563)</f>
        <v/>
      </c>
    </row>
    <row r="564">
      <c r="A564" s="18" t="str">
        <f>'Cashflow Schedule'!B564</f>
        <v/>
      </c>
      <c r="B564" s="18" t="str">
        <f>'Cashflow Schedule'!E564</f>
        <v/>
      </c>
      <c r="C564" s="21" t="str">
        <f>IF(A564="","",EXP(-Inputs!$C$7*A564))</f>
        <v/>
      </c>
      <c r="D564" s="22" t="str">
        <f t="shared" si="1"/>
        <v/>
      </c>
      <c r="E564" s="22" t="str">
        <f>IF(A564="","",Inputs!$C$6*D564)</f>
        <v/>
      </c>
    </row>
    <row r="565">
      <c r="A565" s="18" t="str">
        <f>'Cashflow Schedule'!B565</f>
        <v/>
      </c>
      <c r="B565" s="18" t="str">
        <f>'Cashflow Schedule'!E565</f>
        <v/>
      </c>
      <c r="C565" s="21" t="str">
        <f>IF(A565="","",EXP(-Inputs!$C$7*A565))</f>
        <v/>
      </c>
      <c r="D565" s="22" t="str">
        <f t="shared" si="1"/>
        <v/>
      </c>
      <c r="E565" s="22" t="str">
        <f>IF(A565="","",Inputs!$C$6*D565)</f>
        <v/>
      </c>
    </row>
    <row r="566">
      <c r="A566" s="18" t="str">
        <f>'Cashflow Schedule'!B566</f>
        <v/>
      </c>
      <c r="B566" s="18" t="str">
        <f>'Cashflow Schedule'!E566</f>
        <v/>
      </c>
      <c r="C566" s="21" t="str">
        <f>IF(A566="","",EXP(-Inputs!$C$7*A566))</f>
        <v/>
      </c>
      <c r="D566" s="22" t="str">
        <f t="shared" si="1"/>
        <v/>
      </c>
      <c r="E566" s="22" t="str">
        <f>IF(A566="","",Inputs!$C$6*D566)</f>
        <v/>
      </c>
    </row>
    <row r="567">
      <c r="A567" s="18" t="str">
        <f>'Cashflow Schedule'!B567</f>
        <v/>
      </c>
      <c r="B567" s="18" t="str">
        <f>'Cashflow Schedule'!E567</f>
        <v/>
      </c>
      <c r="C567" s="21" t="str">
        <f>IF(A567="","",EXP(-Inputs!$C$7*A567))</f>
        <v/>
      </c>
      <c r="D567" s="22" t="str">
        <f t="shared" si="1"/>
        <v/>
      </c>
      <c r="E567" s="22" t="str">
        <f>IF(A567="","",Inputs!$C$6*D567)</f>
        <v/>
      </c>
    </row>
    <row r="568">
      <c r="A568" s="18" t="str">
        <f>'Cashflow Schedule'!B568</f>
        <v/>
      </c>
      <c r="B568" s="18" t="str">
        <f>'Cashflow Schedule'!E568</f>
        <v/>
      </c>
      <c r="C568" s="21" t="str">
        <f>IF(A568="","",EXP(-Inputs!$C$7*A568))</f>
        <v/>
      </c>
      <c r="D568" s="22" t="str">
        <f t="shared" si="1"/>
        <v/>
      </c>
      <c r="E568" s="22" t="str">
        <f>IF(A568="","",Inputs!$C$6*D568)</f>
        <v/>
      </c>
    </row>
    <row r="569">
      <c r="A569" s="18" t="str">
        <f>'Cashflow Schedule'!B569</f>
        <v/>
      </c>
      <c r="B569" s="18" t="str">
        <f>'Cashflow Schedule'!E569</f>
        <v/>
      </c>
      <c r="C569" s="21" t="str">
        <f>IF(A569="","",EXP(-Inputs!$C$7*A569))</f>
        <v/>
      </c>
      <c r="D569" s="22" t="str">
        <f t="shared" si="1"/>
        <v/>
      </c>
      <c r="E569" s="22" t="str">
        <f>IF(A569="","",Inputs!$C$6*D569)</f>
        <v/>
      </c>
    </row>
    <row r="570">
      <c r="A570" s="18" t="str">
        <f>'Cashflow Schedule'!B570</f>
        <v/>
      </c>
      <c r="B570" s="18" t="str">
        <f>'Cashflow Schedule'!E570</f>
        <v/>
      </c>
      <c r="C570" s="21" t="str">
        <f>IF(A570="","",EXP(-Inputs!$C$7*A570))</f>
        <v/>
      </c>
      <c r="D570" s="22" t="str">
        <f t="shared" si="1"/>
        <v/>
      </c>
      <c r="E570" s="22" t="str">
        <f>IF(A570="","",Inputs!$C$6*D570)</f>
        <v/>
      </c>
    </row>
    <row r="571">
      <c r="A571" s="18" t="str">
        <f>'Cashflow Schedule'!B571</f>
        <v/>
      </c>
      <c r="B571" s="18" t="str">
        <f>'Cashflow Schedule'!E571</f>
        <v/>
      </c>
      <c r="C571" s="21" t="str">
        <f>IF(A571="","",EXP(-Inputs!$C$7*A571))</f>
        <v/>
      </c>
      <c r="D571" s="22" t="str">
        <f t="shared" si="1"/>
        <v/>
      </c>
      <c r="E571" s="22" t="str">
        <f>IF(A571="","",Inputs!$C$6*D571)</f>
        <v/>
      </c>
    </row>
    <row r="572">
      <c r="A572" s="18" t="str">
        <f>'Cashflow Schedule'!B572</f>
        <v/>
      </c>
      <c r="B572" s="18" t="str">
        <f>'Cashflow Schedule'!E572</f>
        <v/>
      </c>
      <c r="C572" s="21" t="str">
        <f>IF(A572="","",EXP(-Inputs!$C$7*A572))</f>
        <v/>
      </c>
      <c r="D572" s="22" t="str">
        <f t="shared" si="1"/>
        <v/>
      </c>
      <c r="E572" s="22" t="str">
        <f>IF(A572="","",Inputs!$C$6*D572)</f>
        <v/>
      </c>
    </row>
    <row r="573">
      <c r="A573" s="18" t="str">
        <f>'Cashflow Schedule'!B573</f>
        <v/>
      </c>
      <c r="B573" s="18" t="str">
        <f>'Cashflow Schedule'!E573</f>
        <v/>
      </c>
      <c r="C573" s="21" t="str">
        <f>IF(A573="","",EXP(-Inputs!$C$7*A573))</f>
        <v/>
      </c>
      <c r="D573" s="22" t="str">
        <f t="shared" si="1"/>
        <v/>
      </c>
      <c r="E573" s="22" t="str">
        <f>IF(A573="","",Inputs!$C$6*D573)</f>
        <v/>
      </c>
    </row>
    <row r="574">
      <c r="A574" s="18" t="str">
        <f>'Cashflow Schedule'!B574</f>
        <v/>
      </c>
      <c r="B574" s="18" t="str">
        <f>'Cashflow Schedule'!E574</f>
        <v/>
      </c>
      <c r="C574" s="21" t="str">
        <f>IF(A574="","",EXP(-Inputs!$C$7*A574))</f>
        <v/>
      </c>
      <c r="D574" s="22" t="str">
        <f t="shared" si="1"/>
        <v/>
      </c>
      <c r="E574" s="22" t="str">
        <f>IF(A574="","",Inputs!$C$6*D574)</f>
        <v/>
      </c>
    </row>
    <row r="575">
      <c r="A575" s="18" t="str">
        <f>'Cashflow Schedule'!B575</f>
        <v/>
      </c>
      <c r="B575" s="18" t="str">
        <f>'Cashflow Schedule'!E575</f>
        <v/>
      </c>
      <c r="C575" s="21" t="str">
        <f>IF(A575="","",EXP(-Inputs!$C$7*A575))</f>
        <v/>
      </c>
      <c r="D575" s="22" t="str">
        <f t="shared" si="1"/>
        <v/>
      </c>
      <c r="E575" s="22" t="str">
        <f>IF(A575="","",Inputs!$C$6*D575)</f>
        <v/>
      </c>
    </row>
    <row r="576">
      <c r="A576" s="18" t="str">
        <f>'Cashflow Schedule'!B576</f>
        <v/>
      </c>
      <c r="B576" s="18" t="str">
        <f>'Cashflow Schedule'!E576</f>
        <v/>
      </c>
      <c r="C576" s="21" t="str">
        <f>IF(A576="","",EXP(-Inputs!$C$7*A576))</f>
        <v/>
      </c>
      <c r="D576" s="22" t="str">
        <f t="shared" si="1"/>
        <v/>
      </c>
      <c r="E576" s="22" t="str">
        <f>IF(A576="","",Inputs!$C$6*D576)</f>
        <v/>
      </c>
    </row>
    <row r="577">
      <c r="A577" s="18" t="str">
        <f>'Cashflow Schedule'!B577</f>
        <v/>
      </c>
      <c r="B577" s="18" t="str">
        <f>'Cashflow Schedule'!E577</f>
        <v/>
      </c>
      <c r="C577" s="21" t="str">
        <f>IF(A577="","",EXP(-Inputs!$C$7*A577))</f>
        <v/>
      </c>
      <c r="D577" s="22" t="str">
        <f t="shared" si="1"/>
        <v/>
      </c>
      <c r="E577" s="22" t="str">
        <f>IF(A577="","",Inputs!$C$6*D577)</f>
        <v/>
      </c>
    </row>
    <row r="578">
      <c r="A578" s="18" t="str">
        <f>'Cashflow Schedule'!B578</f>
        <v/>
      </c>
      <c r="B578" s="18" t="str">
        <f>'Cashflow Schedule'!E578</f>
        <v/>
      </c>
      <c r="C578" s="21" t="str">
        <f>IF(A578="","",EXP(-Inputs!$C$7*A578))</f>
        <v/>
      </c>
      <c r="D578" s="22" t="str">
        <f t="shared" si="1"/>
        <v/>
      </c>
      <c r="E578" s="22" t="str">
        <f>IF(A578="","",Inputs!$C$6*D578)</f>
        <v/>
      </c>
    </row>
    <row r="579">
      <c r="A579" s="18" t="str">
        <f>'Cashflow Schedule'!B579</f>
        <v/>
      </c>
      <c r="B579" s="18" t="str">
        <f>'Cashflow Schedule'!E579</f>
        <v/>
      </c>
      <c r="C579" s="21" t="str">
        <f>IF(A579="","",EXP(-Inputs!$C$7*A579))</f>
        <v/>
      </c>
      <c r="D579" s="22" t="str">
        <f t="shared" si="1"/>
        <v/>
      </c>
      <c r="E579" s="22" t="str">
        <f>IF(A579="","",Inputs!$C$6*D579)</f>
        <v/>
      </c>
    </row>
    <row r="580">
      <c r="A580" s="18" t="str">
        <f>'Cashflow Schedule'!B580</f>
        <v/>
      </c>
      <c r="B580" s="18" t="str">
        <f>'Cashflow Schedule'!E580</f>
        <v/>
      </c>
      <c r="C580" s="21" t="str">
        <f>IF(A580="","",EXP(-Inputs!$C$7*A580))</f>
        <v/>
      </c>
      <c r="D580" s="22" t="str">
        <f t="shared" si="1"/>
        <v/>
      </c>
      <c r="E580" s="22" t="str">
        <f>IF(A580="","",Inputs!$C$6*D580)</f>
        <v/>
      </c>
    </row>
    <row r="581">
      <c r="A581" s="18" t="str">
        <f>'Cashflow Schedule'!B581</f>
        <v/>
      </c>
      <c r="B581" s="18" t="str">
        <f>'Cashflow Schedule'!E581</f>
        <v/>
      </c>
      <c r="C581" s="21" t="str">
        <f>IF(A581="","",EXP(-Inputs!$C$7*A581))</f>
        <v/>
      </c>
      <c r="D581" s="22" t="str">
        <f t="shared" si="1"/>
        <v/>
      </c>
      <c r="E581" s="22" t="str">
        <f>IF(A581="","",Inputs!$C$6*D581)</f>
        <v/>
      </c>
    </row>
    <row r="582">
      <c r="A582" s="18" t="str">
        <f>'Cashflow Schedule'!B582</f>
        <v/>
      </c>
      <c r="B582" s="18" t="str">
        <f>'Cashflow Schedule'!E582</f>
        <v/>
      </c>
      <c r="C582" s="21" t="str">
        <f>IF(A582="","",EXP(-Inputs!$C$7*A582))</f>
        <v/>
      </c>
      <c r="D582" s="22" t="str">
        <f t="shared" si="1"/>
        <v/>
      </c>
      <c r="E582" s="22" t="str">
        <f>IF(A582="","",Inputs!$C$6*D582)</f>
        <v/>
      </c>
    </row>
    <row r="583">
      <c r="A583" s="18" t="str">
        <f>'Cashflow Schedule'!B583</f>
        <v/>
      </c>
      <c r="B583" s="18" t="str">
        <f>'Cashflow Schedule'!E583</f>
        <v/>
      </c>
      <c r="C583" s="21" t="str">
        <f>IF(A583="","",EXP(-Inputs!$C$7*A583))</f>
        <v/>
      </c>
      <c r="D583" s="22" t="str">
        <f t="shared" si="1"/>
        <v/>
      </c>
      <c r="E583" s="22" t="str">
        <f>IF(A583="","",Inputs!$C$6*D583)</f>
        <v/>
      </c>
    </row>
    <row r="584">
      <c r="A584" s="18" t="str">
        <f>'Cashflow Schedule'!B584</f>
        <v/>
      </c>
      <c r="B584" s="18" t="str">
        <f>'Cashflow Schedule'!E584</f>
        <v/>
      </c>
      <c r="C584" s="21" t="str">
        <f>IF(A584="","",EXP(-Inputs!$C$7*A584))</f>
        <v/>
      </c>
      <c r="D584" s="22" t="str">
        <f t="shared" si="1"/>
        <v/>
      </c>
      <c r="E584" s="22" t="str">
        <f>IF(A584="","",Inputs!$C$6*D584)</f>
        <v/>
      </c>
    </row>
    <row r="585">
      <c r="A585" s="18" t="str">
        <f>'Cashflow Schedule'!B585</f>
        <v/>
      </c>
      <c r="B585" s="18" t="str">
        <f>'Cashflow Schedule'!E585</f>
        <v/>
      </c>
      <c r="C585" s="21" t="str">
        <f>IF(A585="","",EXP(-Inputs!$C$7*A585))</f>
        <v/>
      </c>
      <c r="D585" s="22" t="str">
        <f t="shared" si="1"/>
        <v/>
      </c>
      <c r="E585" s="22" t="str">
        <f>IF(A585="","",Inputs!$C$6*D585)</f>
        <v/>
      </c>
    </row>
    <row r="586">
      <c r="A586" s="18" t="str">
        <f>'Cashflow Schedule'!B586</f>
        <v/>
      </c>
      <c r="B586" s="18" t="str">
        <f>'Cashflow Schedule'!E586</f>
        <v/>
      </c>
      <c r="C586" s="21" t="str">
        <f>IF(A586="","",EXP(-Inputs!$C$7*A586))</f>
        <v/>
      </c>
      <c r="D586" s="22" t="str">
        <f t="shared" si="1"/>
        <v/>
      </c>
      <c r="E586" s="22" t="str">
        <f>IF(A586="","",Inputs!$C$6*D586)</f>
        <v/>
      </c>
    </row>
    <row r="587">
      <c r="A587" s="18" t="str">
        <f>'Cashflow Schedule'!B587</f>
        <v/>
      </c>
      <c r="B587" s="18" t="str">
        <f>'Cashflow Schedule'!E587</f>
        <v/>
      </c>
      <c r="C587" s="21" t="str">
        <f>IF(A587="","",EXP(-Inputs!$C$7*A587))</f>
        <v/>
      </c>
      <c r="D587" s="22" t="str">
        <f t="shared" si="1"/>
        <v/>
      </c>
      <c r="E587" s="22" t="str">
        <f>IF(A587="","",Inputs!$C$6*D587)</f>
        <v/>
      </c>
    </row>
    <row r="588">
      <c r="A588" s="18" t="str">
        <f>'Cashflow Schedule'!B588</f>
        <v/>
      </c>
      <c r="B588" s="18" t="str">
        <f>'Cashflow Schedule'!E588</f>
        <v/>
      </c>
      <c r="C588" s="21" t="str">
        <f>IF(A588="","",EXP(-Inputs!$C$7*A588))</f>
        <v/>
      </c>
      <c r="D588" s="22" t="str">
        <f t="shared" si="1"/>
        <v/>
      </c>
      <c r="E588" s="22" t="str">
        <f>IF(A588="","",Inputs!$C$6*D588)</f>
        <v/>
      </c>
    </row>
    <row r="589">
      <c r="A589" s="18" t="str">
        <f>'Cashflow Schedule'!B589</f>
        <v/>
      </c>
      <c r="B589" s="18" t="str">
        <f>'Cashflow Schedule'!E589</f>
        <v/>
      </c>
      <c r="C589" s="21" t="str">
        <f>IF(A589="","",EXP(-Inputs!$C$7*A589))</f>
        <v/>
      </c>
      <c r="D589" s="22" t="str">
        <f t="shared" si="1"/>
        <v/>
      </c>
      <c r="E589" s="22" t="str">
        <f>IF(A589="","",Inputs!$C$6*D589)</f>
        <v/>
      </c>
    </row>
    <row r="590">
      <c r="A590" s="18" t="str">
        <f>'Cashflow Schedule'!B590</f>
        <v/>
      </c>
      <c r="B590" s="18" t="str">
        <f>'Cashflow Schedule'!E590</f>
        <v/>
      </c>
      <c r="C590" s="21" t="str">
        <f>IF(A590="","",EXP(-Inputs!$C$7*A590))</f>
        <v/>
      </c>
      <c r="D590" s="22" t="str">
        <f t="shared" si="1"/>
        <v/>
      </c>
      <c r="E590" s="22" t="str">
        <f>IF(A590="","",Inputs!$C$6*D590)</f>
        <v/>
      </c>
    </row>
    <row r="591">
      <c r="A591" s="18" t="str">
        <f>'Cashflow Schedule'!B591</f>
        <v/>
      </c>
      <c r="B591" s="18" t="str">
        <f>'Cashflow Schedule'!E591</f>
        <v/>
      </c>
      <c r="C591" s="21" t="str">
        <f>IF(A591="","",EXP(-Inputs!$C$7*A591))</f>
        <v/>
      </c>
      <c r="D591" s="22" t="str">
        <f t="shared" si="1"/>
        <v/>
      </c>
      <c r="E591" s="22" t="str">
        <f>IF(A591="","",Inputs!$C$6*D591)</f>
        <v/>
      </c>
    </row>
    <row r="592">
      <c r="A592" s="18" t="str">
        <f>'Cashflow Schedule'!B592</f>
        <v/>
      </c>
      <c r="B592" s="18" t="str">
        <f>'Cashflow Schedule'!E592</f>
        <v/>
      </c>
      <c r="C592" s="21" t="str">
        <f>IF(A592="","",EXP(-Inputs!$C$7*A592))</f>
        <v/>
      </c>
      <c r="D592" s="22" t="str">
        <f t="shared" si="1"/>
        <v/>
      </c>
      <c r="E592" s="22" t="str">
        <f>IF(A592="","",Inputs!$C$6*D592)</f>
        <v/>
      </c>
    </row>
    <row r="593">
      <c r="A593" s="18" t="str">
        <f>'Cashflow Schedule'!B593</f>
        <v/>
      </c>
      <c r="B593" s="18" t="str">
        <f>'Cashflow Schedule'!E593</f>
        <v/>
      </c>
      <c r="C593" s="21" t="str">
        <f>IF(A593="","",EXP(-Inputs!$C$7*A593))</f>
        <v/>
      </c>
      <c r="D593" s="22" t="str">
        <f t="shared" si="1"/>
        <v/>
      </c>
      <c r="E593" s="22" t="str">
        <f>IF(A593="","",Inputs!$C$6*D593)</f>
        <v/>
      </c>
    </row>
    <row r="594">
      <c r="A594" s="18" t="str">
        <f>'Cashflow Schedule'!B594</f>
        <v/>
      </c>
      <c r="B594" s="18" t="str">
        <f>'Cashflow Schedule'!E594</f>
        <v/>
      </c>
      <c r="C594" s="21" t="str">
        <f>IF(A594="","",EXP(-Inputs!$C$7*A594))</f>
        <v/>
      </c>
      <c r="D594" s="22" t="str">
        <f t="shared" si="1"/>
        <v/>
      </c>
      <c r="E594" s="22" t="str">
        <f>IF(A594="","",Inputs!$C$6*D594)</f>
        <v/>
      </c>
    </row>
    <row r="595">
      <c r="A595" s="18" t="str">
        <f>'Cashflow Schedule'!B595</f>
        <v/>
      </c>
      <c r="B595" s="18" t="str">
        <f>'Cashflow Schedule'!E595</f>
        <v/>
      </c>
      <c r="C595" s="21" t="str">
        <f>IF(A595="","",EXP(-Inputs!$C$7*A595))</f>
        <v/>
      </c>
      <c r="D595" s="22" t="str">
        <f t="shared" si="1"/>
        <v/>
      </c>
      <c r="E595" s="22" t="str">
        <f>IF(A595="","",Inputs!$C$6*D595)</f>
        <v/>
      </c>
    </row>
    <row r="596">
      <c r="A596" s="18" t="str">
        <f>'Cashflow Schedule'!B596</f>
        <v/>
      </c>
      <c r="B596" s="18" t="str">
        <f>'Cashflow Schedule'!E596</f>
        <v/>
      </c>
      <c r="C596" s="21" t="str">
        <f>IF(A596="","",EXP(-Inputs!$C$7*A596))</f>
        <v/>
      </c>
      <c r="D596" s="22" t="str">
        <f t="shared" si="1"/>
        <v/>
      </c>
      <c r="E596" s="22" t="str">
        <f>IF(A596="","",Inputs!$C$6*D596)</f>
        <v/>
      </c>
    </row>
    <row r="597">
      <c r="A597" s="18" t="str">
        <f>'Cashflow Schedule'!B597</f>
        <v/>
      </c>
      <c r="B597" s="18" t="str">
        <f>'Cashflow Schedule'!E597</f>
        <v/>
      </c>
      <c r="C597" s="21" t="str">
        <f>IF(A597="","",EXP(-Inputs!$C$7*A597))</f>
        <v/>
      </c>
      <c r="D597" s="22" t="str">
        <f t="shared" si="1"/>
        <v/>
      </c>
      <c r="E597" s="22" t="str">
        <f>IF(A597="","",Inputs!$C$6*D597)</f>
        <v/>
      </c>
    </row>
    <row r="598">
      <c r="A598" s="18" t="str">
        <f>'Cashflow Schedule'!B598</f>
        <v/>
      </c>
      <c r="B598" s="18" t="str">
        <f>'Cashflow Schedule'!E598</f>
        <v/>
      </c>
      <c r="C598" s="21" t="str">
        <f>IF(A598="","",EXP(-Inputs!$C$7*A598))</f>
        <v/>
      </c>
      <c r="D598" s="22" t="str">
        <f t="shared" si="1"/>
        <v/>
      </c>
      <c r="E598" s="22" t="str">
        <f>IF(A598="","",Inputs!$C$6*D598)</f>
        <v/>
      </c>
    </row>
    <row r="599">
      <c r="A599" s="18" t="str">
        <f>'Cashflow Schedule'!B599</f>
        <v/>
      </c>
      <c r="B599" s="18" t="str">
        <f>'Cashflow Schedule'!E599</f>
        <v/>
      </c>
      <c r="C599" s="21" t="str">
        <f>IF(A599="","",EXP(-Inputs!$C$7*A599))</f>
        <v/>
      </c>
      <c r="D599" s="22" t="str">
        <f t="shared" si="1"/>
        <v/>
      </c>
      <c r="E599" s="22" t="str">
        <f>IF(A599="","",Inputs!$C$6*D599)</f>
        <v/>
      </c>
    </row>
    <row r="600">
      <c r="A600" s="18" t="str">
        <f>'Cashflow Schedule'!B600</f>
        <v/>
      </c>
      <c r="B600" s="18" t="str">
        <f>'Cashflow Schedule'!E600</f>
        <v/>
      </c>
      <c r="C600" s="21" t="str">
        <f>IF(A600="","",EXP(-Inputs!$C$7*A600))</f>
        <v/>
      </c>
      <c r="D600" s="22" t="str">
        <f t="shared" si="1"/>
        <v/>
      </c>
      <c r="E600" s="22" t="str">
        <f>IF(A600="","",Inputs!$C$6*D600)</f>
        <v/>
      </c>
    </row>
    <row r="601">
      <c r="A601" s="18" t="str">
        <f>'Cashflow Schedule'!B601</f>
        <v/>
      </c>
      <c r="B601" s="18" t="str">
        <f>'Cashflow Schedule'!E601</f>
        <v/>
      </c>
      <c r="C601" s="21" t="str">
        <f>IF(A601="","",EXP(-Inputs!$C$7*A601))</f>
        <v/>
      </c>
      <c r="D601" s="22" t="str">
        <f t="shared" si="1"/>
        <v/>
      </c>
      <c r="E601" s="22" t="str">
        <f>IF(A601="","",Inputs!$C$6*D601)</f>
        <v/>
      </c>
    </row>
    <row r="602">
      <c r="A602" s="18" t="str">
        <f>'Cashflow Schedule'!B602</f>
        <v/>
      </c>
      <c r="B602" s="18" t="str">
        <f>'Cashflow Schedule'!E602</f>
        <v/>
      </c>
      <c r="C602" s="21" t="str">
        <f>IF(A602="","",EXP(-Inputs!$C$7*A602))</f>
        <v/>
      </c>
      <c r="D602" s="22" t="str">
        <f t="shared" si="1"/>
        <v/>
      </c>
      <c r="E602" s="22" t="str">
        <f>IF(A602="","",Inputs!$C$6*D602)</f>
        <v/>
      </c>
    </row>
    <row r="603">
      <c r="A603" s="18" t="str">
        <f>'Cashflow Schedule'!B603</f>
        <v/>
      </c>
      <c r="B603" s="18" t="str">
        <f>'Cashflow Schedule'!E603</f>
        <v/>
      </c>
      <c r="C603" s="21" t="str">
        <f>IF(A603="","",EXP(-Inputs!$C$7*A603))</f>
        <v/>
      </c>
      <c r="D603" s="22" t="str">
        <f t="shared" si="1"/>
        <v/>
      </c>
      <c r="E603" s="22" t="str">
        <f>IF(A603="","",Inputs!$C$6*D603)</f>
        <v/>
      </c>
    </row>
    <row r="604">
      <c r="A604" s="18" t="str">
        <f>'Cashflow Schedule'!B604</f>
        <v/>
      </c>
      <c r="B604" s="18" t="str">
        <f>'Cashflow Schedule'!E604</f>
        <v/>
      </c>
      <c r="C604" s="21" t="str">
        <f>IF(A604="","",EXP(-Inputs!$C$7*A604))</f>
        <v/>
      </c>
      <c r="D604" s="22" t="str">
        <f t="shared" si="1"/>
        <v/>
      </c>
      <c r="E604" s="22" t="str">
        <f>IF(A604="","",Inputs!$C$6*D604)</f>
        <v/>
      </c>
    </row>
    <row r="605">
      <c r="A605" s="18" t="str">
        <f>'Cashflow Schedule'!B605</f>
        <v/>
      </c>
      <c r="B605" s="18" t="str">
        <f>'Cashflow Schedule'!E605</f>
        <v/>
      </c>
      <c r="C605" s="21" t="str">
        <f>IF(A605="","",EXP(-Inputs!$C$7*A605))</f>
        <v/>
      </c>
      <c r="D605" s="22" t="str">
        <f t="shared" si="1"/>
        <v/>
      </c>
      <c r="E605" s="22" t="str">
        <f>IF(A605="","",Inputs!$C$6*D605)</f>
        <v/>
      </c>
    </row>
    <row r="606">
      <c r="A606" s="18" t="str">
        <f>'Cashflow Schedule'!B606</f>
        <v/>
      </c>
      <c r="B606" s="18" t="str">
        <f>'Cashflow Schedule'!E606</f>
        <v/>
      </c>
      <c r="C606" s="21" t="str">
        <f>IF(A606="","",EXP(-Inputs!$C$7*A606))</f>
        <v/>
      </c>
      <c r="D606" s="22" t="str">
        <f t="shared" si="1"/>
        <v/>
      </c>
      <c r="E606" s="22" t="str">
        <f>IF(A606="","",Inputs!$C$6*D606)</f>
        <v/>
      </c>
    </row>
    <row r="607">
      <c r="A607" s="18" t="str">
        <f>'Cashflow Schedule'!B607</f>
        <v/>
      </c>
      <c r="B607" s="18" t="str">
        <f>'Cashflow Schedule'!E607</f>
        <v/>
      </c>
      <c r="C607" s="21" t="str">
        <f>IF(A607="","",EXP(-Inputs!$C$7*A607))</f>
        <v/>
      </c>
      <c r="D607" s="22" t="str">
        <f t="shared" si="1"/>
        <v/>
      </c>
      <c r="E607" s="22" t="str">
        <f>IF(A607="","",Inputs!$C$6*D607)</f>
        <v/>
      </c>
    </row>
    <row r="608">
      <c r="A608" s="18" t="str">
        <f>'Cashflow Schedule'!B608</f>
        <v/>
      </c>
      <c r="B608" s="18" t="str">
        <f>'Cashflow Schedule'!E608</f>
        <v/>
      </c>
      <c r="C608" s="21" t="str">
        <f>IF(A608="","",EXP(-Inputs!$C$7*A608))</f>
        <v/>
      </c>
      <c r="D608" s="22" t="str">
        <f t="shared" si="1"/>
        <v/>
      </c>
      <c r="E608" s="22" t="str">
        <f>IF(A608="","",Inputs!$C$6*D608)</f>
        <v/>
      </c>
    </row>
    <row r="609">
      <c r="A609" s="18" t="str">
        <f>'Cashflow Schedule'!B609</f>
        <v/>
      </c>
      <c r="B609" s="18" t="str">
        <f>'Cashflow Schedule'!E609</f>
        <v/>
      </c>
      <c r="C609" s="21" t="str">
        <f>IF(A609="","",EXP(-Inputs!$C$7*A609))</f>
        <v/>
      </c>
      <c r="D609" s="22" t="str">
        <f t="shared" si="1"/>
        <v/>
      </c>
      <c r="E609" s="22" t="str">
        <f>IF(A609="","",Inputs!$C$6*D609)</f>
        <v/>
      </c>
    </row>
    <row r="610">
      <c r="A610" s="18" t="str">
        <f>'Cashflow Schedule'!B610</f>
        <v/>
      </c>
      <c r="B610" s="18" t="str">
        <f>'Cashflow Schedule'!E610</f>
        <v/>
      </c>
      <c r="C610" s="21" t="str">
        <f>IF(A610="","",EXP(-Inputs!$C$7*A610))</f>
        <v/>
      </c>
      <c r="D610" s="22" t="str">
        <f t="shared" si="1"/>
        <v/>
      </c>
      <c r="E610" s="22" t="str">
        <f>IF(A610="","",Inputs!$C$6*D610)</f>
        <v/>
      </c>
    </row>
    <row r="611">
      <c r="A611" s="18" t="str">
        <f>'Cashflow Schedule'!B611</f>
        <v/>
      </c>
      <c r="B611" s="18" t="str">
        <f>'Cashflow Schedule'!E611</f>
        <v/>
      </c>
      <c r="C611" s="21" t="str">
        <f>IF(A611="","",EXP(-Inputs!$C$7*A611))</f>
        <v/>
      </c>
      <c r="D611" s="22" t="str">
        <f t="shared" si="1"/>
        <v/>
      </c>
      <c r="E611" s="22" t="str">
        <f>IF(A611="","",Inputs!$C$6*D611)</f>
        <v/>
      </c>
    </row>
    <row r="612">
      <c r="A612" s="18" t="str">
        <f>'Cashflow Schedule'!B612</f>
        <v/>
      </c>
      <c r="B612" s="18" t="str">
        <f>'Cashflow Schedule'!E612</f>
        <v/>
      </c>
      <c r="C612" s="21" t="str">
        <f>IF(A612="","",EXP(-Inputs!$C$7*A612))</f>
        <v/>
      </c>
      <c r="D612" s="22" t="str">
        <f t="shared" si="1"/>
        <v/>
      </c>
      <c r="E612" s="22" t="str">
        <f>IF(A612="","",Inputs!$C$6*D612)</f>
        <v/>
      </c>
    </row>
    <row r="613">
      <c r="A613" s="18" t="str">
        <f>'Cashflow Schedule'!B613</f>
        <v/>
      </c>
      <c r="B613" s="18" t="str">
        <f>'Cashflow Schedule'!E613</f>
        <v/>
      </c>
      <c r="C613" s="21" t="str">
        <f>IF(A613="","",EXP(-Inputs!$C$7*A613))</f>
        <v/>
      </c>
      <c r="D613" s="22" t="str">
        <f t="shared" si="1"/>
        <v/>
      </c>
      <c r="E613" s="22" t="str">
        <f>IF(A613="","",Inputs!$C$6*D613)</f>
        <v/>
      </c>
    </row>
    <row r="614">
      <c r="A614" s="18" t="str">
        <f>'Cashflow Schedule'!B614</f>
        <v/>
      </c>
      <c r="B614" s="18" t="str">
        <f>'Cashflow Schedule'!E614</f>
        <v/>
      </c>
      <c r="C614" s="21" t="str">
        <f>IF(A614="","",EXP(-Inputs!$C$7*A614))</f>
        <v/>
      </c>
      <c r="D614" s="22" t="str">
        <f t="shared" si="1"/>
        <v/>
      </c>
      <c r="E614" s="22" t="str">
        <f>IF(A614="","",Inputs!$C$6*D614)</f>
        <v/>
      </c>
    </row>
    <row r="615">
      <c r="A615" s="18" t="str">
        <f>'Cashflow Schedule'!B615</f>
        <v/>
      </c>
      <c r="B615" s="18" t="str">
        <f>'Cashflow Schedule'!E615</f>
        <v/>
      </c>
      <c r="C615" s="21" t="str">
        <f>IF(A615="","",EXP(-Inputs!$C$7*A615))</f>
        <v/>
      </c>
      <c r="D615" s="22" t="str">
        <f t="shared" si="1"/>
        <v/>
      </c>
      <c r="E615" s="22" t="str">
        <f>IF(A615="","",Inputs!$C$6*D615)</f>
        <v/>
      </c>
    </row>
    <row r="616">
      <c r="A616" s="18" t="str">
        <f>'Cashflow Schedule'!B616</f>
        <v/>
      </c>
      <c r="B616" s="18" t="str">
        <f>'Cashflow Schedule'!E616</f>
        <v/>
      </c>
      <c r="C616" s="21" t="str">
        <f>IF(A616="","",EXP(-Inputs!$C$7*A616))</f>
        <v/>
      </c>
      <c r="D616" s="22" t="str">
        <f t="shared" si="1"/>
        <v/>
      </c>
      <c r="E616" s="22" t="str">
        <f>IF(A616="","",Inputs!$C$6*D616)</f>
        <v/>
      </c>
    </row>
    <row r="617">
      <c r="A617" s="18" t="str">
        <f>'Cashflow Schedule'!B617</f>
        <v/>
      </c>
      <c r="B617" s="18" t="str">
        <f>'Cashflow Schedule'!E617</f>
        <v/>
      </c>
      <c r="C617" s="21" t="str">
        <f>IF(A617="","",EXP(-Inputs!$C$7*A617))</f>
        <v/>
      </c>
      <c r="D617" s="22" t="str">
        <f t="shared" si="1"/>
        <v/>
      </c>
      <c r="E617" s="22" t="str">
        <f>IF(A617="","",Inputs!$C$6*D617)</f>
        <v/>
      </c>
    </row>
    <row r="618">
      <c r="A618" s="18" t="str">
        <f>'Cashflow Schedule'!B618</f>
        <v/>
      </c>
      <c r="B618" s="18" t="str">
        <f>'Cashflow Schedule'!E618</f>
        <v/>
      </c>
      <c r="C618" s="21" t="str">
        <f>IF(A618="","",EXP(-Inputs!$C$7*A618))</f>
        <v/>
      </c>
      <c r="D618" s="22" t="str">
        <f t="shared" si="1"/>
        <v/>
      </c>
      <c r="E618" s="22" t="str">
        <f>IF(A618="","",Inputs!$C$6*D618)</f>
        <v/>
      </c>
    </row>
    <row r="619">
      <c r="A619" s="18" t="str">
        <f>'Cashflow Schedule'!B619</f>
        <v/>
      </c>
      <c r="B619" s="18" t="str">
        <f>'Cashflow Schedule'!E619</f>
        <v/>
      </c>
      <c r="C619" s="21" t="str">
        <f>IF(A619="","",EXP(-Inputs!$C$7*A619))</f>
        <v/>
      </c>
      <c r="D619" s="22" t="str">
        <f t="shared" si="1"/>
        <v/>
      </c>
      <c r="E619" s="22" t="str">
        <f>IF(A619="","",Inputs!$C$6*D619)</f>
        <v/>
      </c>
    </row>
    <row r="620">
      <c r="A620" s="18" t="str">
        <f>'Cashflow Schedule'!B620</f>
        <v/>
      </c>
      <c r="B620" s="18" t="str">
        <f>'Cashflow Schedule'!E620</f>
        <v/>
      </c>
      <c r="C620" s="21" t="str">
        <f>IF(A620="","",EXP(-Inputs!$C$7*A620))</f>
        <v/>
      </c>
      <c r="D620" s="22" t="str">
        <f t="shared" si="1"/>
        <v/>
      </c>
      <c r="E620" s="22" t="str">
        <f>IF(A620="","",Inputs!$C$6*D620)</f>
        <v/>
      </c>
    </row>
    <row r="621">
      <c r="A621" s="18" t="str">
        <f>'Cashflow Schedule'!B621</f>
        <v/>
      </c>
      <c r="B621" s="18" t="str">
        <f>'Cashflow Schedule'!E621</f>
        <v/>
      </c>
      <c r="C621" s="21" t="str">
        <f>IF(A621="","",EXP(-Inputs!$C$7*A621))</f>
        <v/>
      </c>
      <c r="D621" s="22" t="str">
        <f t="shared" si="1"/>
        <v/>
      </c>
      <c r="E621" s="22" t="str">
        <f>IF(A621="","",Inputs!$C$6*D621)</f>
        <v/>
      </c>
    </row>
    <row r="622">
      <c r="A622" s="18" t="str">
        <f>'Cashflow Schedule'!B622</f>
        <v/>
      </c>
      <c r="B622" s="18" t="str">
        <f>'Cashflow Schedule'!E622</f>
        <v/>
      </c>
      <c r="C622" s="21" t="str">
        <f>IF(A622="","",EXP(-Inputs!$C$7*A622))</f>
        <v/>
      </c>
      <c r="D622" s="22" t="str">
        <f t="shared" si="1"/>
        <v/>
      </c>
      <c r="E622" s="22" t="str">
        <f>IF(A622="","",Inputs!$C$6*D622)</f>
        <v/>
      </c>
    </row>
    <row r="623">
      <c r="A623" s="18" t="str">
        <f>'Cashflow Schedule'!B623</f>
        <v/>
      </c>
      <c r="B623" s="18" t="str">
        <f>'Cashflow Schedule'!E623</f>
        <v/>
      </c>
      <c r="C623" s="21" t="str">
        <f>IF(A623="","",EXP(-Inputs!$C$7*A623))</f>
        <v/>
      </c>
      <c r="D623" s="22" t="str">
        <f t="shared" si="1"/>
        <v/>
      </c>
      <c r="E623" s="22" t="str">
        <f>IF(A623="","",Inputs!$C$6*D623)</f>
        <v/>
      </c>
    </row>
    <row r="624">
      <c r="A624" s="18" t="str">
        <f>'Cashflow Schedule'!B624</f>
        <v/>
      </c>
      <c r="B624" s="18" t="str">
        <f>'Cashflow Schedule'!E624</f>
        <v/>
      </c>
      <c r="C624" s="21" t="str">
        <f>IF(A624="","",EXP(-Inputs!$C$7*A624))</f>
        <v/>
      </c>
      <c r="D624" s="22" t="str">
        <f t="shared" si="1"/>
        <v/>
      </c>
      <c r="E624" s="22" t="str">
        <f>IF(A624="","",Inputs!$C$6*D624)</f>
        <v/>
      </c>
    </row>
    <row r="625">
      <c r="A625" s="18" t="str">
        <f>'Cashflow Schedule'!B625</f>
        <v/>
      </c>
      <c r="B625" s="18" t="str">
        <f>'Cashflow Schedule'!E625</f>
        <v/>
      </c>
      <c r="C625" s="21" t="str">
        <f>IF(A625="","",EXP(-Inputs!$C$7*A625))</f>
        <v/>
      </c>
      <c r="D625" s="22" t="str">
        <f t="shared" si="1"/>
        <v/>
      </c>
      <c r="E625" s="22" t="str">
        <f>IF(A625="","",Inputs!$C$6*D625)</f>
        <v/>
      </c>
    </row>
    <row r="626">
      <c r="A626" s="18" t="str">
        <f>'Cashflow Schedule'!B626</f>
        <v/>
      </c>
      <c r="B626" s="18" t="str">
        <f>'Cashflow Schedule'!E626</f>
        <v/>
      </c>
      <c r="C626" s="21" t="str">
        <f>IF(A626="","",EXP(-Inputs!$C$7*A626))</f>
        <v/>
      </c>
      <c r="D626" s="22" t="str">
        <f t="shared" si="1"/>
        <v/>
      </c>
      <c r="E626" s="22" t="str">
        <f>IF(A626="","",Inputs!$C$6*D626)</f>
        <v/>
      </c>
    </row>
    <row r="627">
      <c r="A627" s="18" t="str">
        <f>'Cashflow Schedule'!B627</f>
        <v/>
      </c>
      <c r="B627" s="18" t="str">
        <f>'Cashflow Schedule'!E627</f>
        <v/>
      </c>
      <c r="C627" s="21" t="str">
        <f>IF(A627="","",EXP(-Inputs!$C$7*A627))</f>
        <v/>
      </c>
      <c r="D627" s="22" t="str">
        <f t="shared" si="1"/>
        <v/>
      </c>
      <c r="E627" s="22" t="str">
        <f>IF(A627="","",Inputs!$C$6*D627)</f>
        <v/>
      </c>
    </row>
    <row r="628">
      <c r="A628" s="18" t="str">
        <f>'Cashflow Schedule'!B628</f>
        <v/>
      </c>
      <c r="B628" s="18" t="str">
        <f>'Cashflow Schedule'!E628</f>
        <v/>
      </c>
      <c r="C628" s="21" t="str">
        <f>IF(A628="","",EXP(-Inputs!$C$7*A628))</f>
        <v/>
      </c>
      <c r="D628" s="22" t="str">
        <f t="shared" si="1"/>
        <v/>
      </c>
      <c r="E628" s="22" t="str">
        <f>IF(A628="","",Inputs!$C$6*D628)</f>
        <v/>
      </c>
    </row>
    <row r="629">
      <c r="A629" s="18" t="str">
        <f>'Cashflow Schedule'!B629</f>
        <v/>
      </c>
      <c r="B629" s="18" t="str">
        <f>'Cashflow Schedule'!E629</f>
        <v/>
      </c>
      <c r="C629" s="21" t="str">
        <f>IF(A629="","",EXP(-Inputs!$C$7*A629))</f>
        <v/>
      </c>
      <c r="D629" s="22" t="str">
        <f t="shared" si="1"/>
        <v/>
      </c>
      <c r="E629" s="22" t="str">
        <f>IF(A629="","",Inputs!$C$6*D629)</f>
        <v/>
      </c>
    </row>
    <row r="630">
      <c r="A630" s="18" t="str">
        <f>'Cashflow Schedule'!B630</f>
        <v/>
      </c>
      <c r="B630" s="18" t="str">
        <f>'Cashflow Schedule'!E630</f>
        <v/>
      </c>
      <c r="C630" s="21" t="str">
        <f>IF(A630="","",EXP(-Inputs!$C$7*A630))</f>
        <v/>
      </c>
      <c r="D630" s="22" t="str">
        <f t="shared" si="1"/>
        <v/>
      </c>
      <c r="E630" s="22" t="str">
        <f>IF(A630="","",Inputs!$C$6*D630)</f>
        <v/>
      </c>
    </row>
    <row r="631">
      <c r="A631" s="18" t="str">
        <f>'Cashflow Schedule'!B631</f>
        <v/>
      </c>
      <c r="B631" s="18" t="str">
        <f>'Cashflow Schedule'!E631</f>
        <v/>
      </c>
      <c r="C631" s="21" t="str">
        <f>IF(A631="","",EXP(-Inputs!$C$7*A631))</f>
        <v/>
      </c>
      <c r="D631" s="22" t="str">
        <f t="shared" si="1"/>
        <v/>
      </c>
      <c r="E631" s="22" t="str">
        <f>IF(A631="","",Inputs!$C$6*D631)</f>
        <v/>
      </c>
    </row>
    <row r="632">
      <c r="A632" s="18" t="str">
        <f>'Cashflow Schedule'!B632</f>
        <v/>
      </c>
      <c r="B632" s="18" t="str">
        <f>'Cashflow Schedule'!E632</f>
        <v/>
      </c>
      <c r="C632" s="21" t="str">
        <f>IF(A632="","",EXP(-Inputs!$C$7*A632))</f>
        <v/>
      </c>
      <c r="D632" s="22" t="str">
        <f t="shared" si="1"/>
        <v/>
      </c>
      <c r="E632" s="22" t="str">
        <f>IF(A632="","",Inputs!$C$6*D632)</f>
        <v/>
      </c>
    </row>
    <row r="633">
      <c r="A633" s="18" t="str">
        <f>'Cashflow Schedule'!B633</f>
        <v/>
      </c>
      <c r="B633" s="18" t="str">
        <f>'Cashflow Schedule'!E633</f>
        <v/>
      </c>
      <c r="C633" s="21" t="str">
        <f>IF(A633="","",EXP(-Inputs!$C$7*A633))</f>
        <v/>
      </c>
      <c r="D633" s="22" t="str">
        <f t="shared" si="1"/>
        <v/>
      </c>
      <c r="E633" s="22" t="str">
        <f>IF(A633="","",Inputs!$C$6*D633)</f>
        <v/>
      </c>
    </row>
    <row r="634">
      <c r="A634" s="18" t="str">
        <f>'Cashflow Schedule'!B634</f>
        <v/>
      </c>
      <c r="B634" s="18" t="str">
        <f>'Cashflow Schedule'!E634</f>
        <v/>
      </c>
      <c r="C634" s="21" t="str">
        <f>IF(A634="","",EXP(-Inputs!$C$7*A634))</f>
        <v/>
      </c>
      <c r="D634" s="22" t="str">
        <f t="shared" si="1"/>
        <v/>
      </c>
      <c r="E634" s="22" t="str">
        <f>IF(A634="","",Inputs!$C$6*D634)</f>
        <v/>
      </c>
    </row>
    <row r="635">
      <c r="A635" s="18" t="str">
        <f>'Cashflow Schedule'!B635</f>
        <v/>
      </c>
      <c r="B635" s="18" t="str">
        <f>'Cashflow Schedule'!E635</f>
        <v/>
      </c>
      <c r="C635" s="21" t="str">
        <f>IF(A635="","",EXP(-Inputs!$C$7*A635))</f>
        <v/>
      </c>
      <c r="D635" s="22" t="str">
        <f t="shared" si="1"/>
        <v/>
      </c>
      <c r="E635" s="22" t="str">
        <f>IF(A635="","",Inputs!$C$6*D635)</f>
        <v/>
      </c>
    </row>
    <row r="636">
      <c r="A636" s="18" t="str">
        <f>'Cashflow Schedule'!B636</f>
        <v/>
      </c>
      <c r="B636" s="18" t="str">
        <f>'Cashflow Schedule'!E636</f>
        <v/>
      </c>
      <c r="C636" s="21" t="str">
        <f>IF(A636="","",EXP(-Inputs!$C$7*A636))</f>
        <v/>
      </c>
      <c r="D636" s="22" t="str">
        <f t="shared" si="1"/>
        <v/>
      </c>
      <c r="E636" s="22" t="str">
        <f>IF(A636="","",Inputs!$C$6*D636)</f>
        <v/>
      </c>
    </row>
    <row r="637">
      <c r="A637" s="18" t="str">
        <f>'Cashflow Schedule'!B637</f>
        <v/>
      </c>
      <c r="B637" s="18" t="str">
        <f>'Cashflow Schedule'!E637</f>
        <v/>
      </c>
      <c r="C637" s="21" t="str">
        <f>IF(A637="","",EXP(-Inputs!$C$7*A637))</f>
        <v/>
      </c>
      <c r="D637" s="22" t="str">
        <f t="shared" si="1"/>
        <v/>
      </c>
      <c r="E637" s="22" t="str">
        <f>IF(A637="","",Inputs!$C$6*D637)</f>
        <v/>
      </c>
    </row>
    <row r="638">
      <c r="A638" s="18" t="str">
        <f>'Cashflow Schedule'!B638</f>
        <v/>
      </c>
      <c r="B638" s="18" t="str">
        <f>'Cashflow Schedule'!E638</f>
        <v/>
      </c>
      <c r="C638" s="21" t="str">
        <f>IF(A638="","",EXP(-Inputs!$C$7*A638))</f>
        <v/>
      </c>
      <c r="D638" s="22" t="str">
        <f t="shared" si="1"/>
        <v/>
      </c>
      <c r="E638" s="22" t="str">
        <f>IF(A638="","",Inputs!$C$6*D638)</f>
        <v/>
      </c>
    </row>
    <row r="639">
      <c r="A639" s="18" t="str">
        <f>'Cashflow Schedule'!B639</f>
        <v/>
      </c>
      <c r="B639" s="18" t="str">
        <f>'Cashflow Schedule'!E639</f>
        <v/>
      </c>
      <c r="C639" s="21" t="str">
        <f>IF(A639="","",EXP(-Inputs!$C$7*A639))</f>
        <v/>
      </c>
      <c r="D639" s="22" t="str">
        <f t="shared" si="1"/>
        <v/>
      </c>
      <c r="E639" s="22" t="str">
        <f>IF(A639="","",Inputs!$C$6*D639)</f>
        <v/>
      </c>
    </row>
    <row r="640">
      <c r="A640" s="18" t="str">
        <f>'Cashflow Schedule'!B640</f>
        <v/>
      </c>
      <c r="B640" s="18" t="str">
        <f>'Cashflow Schedule'!E640</f>
        <v/>
      </c>
      <c r="C640" s="21" t="str">
        <f>IF(A640="","",EXP(-Inputs!$C$7*A640))</f>
        <v/>
      </c>
      <c r="D640" s="22" t="str">
        <f t="shared" si="1"/>
        <v/>
      </c>
      <c r="E640" s="22" t="str">
        <f>IF(A640="","",Inputs!$C$6*D640)</f>
        <v/>
      </c>
    </row>
    <row r="641">
      <c r="A641" s="18" t="str">
        <f>'Cashflow Schedule'!B641</f>
        <v/>
      </c>
      <c r="B641" s="18" t="str">
        <f>'Cashflow Schedule'!E641</f>
        <v/>
      </c>
      <c r="C641" s="21" t="str">
        <f>IF(A641="","",EXP(-Inputs!$C$7*A641))</f>
        <v/>
      </c>
      <c r="D641" s="22" t="str">
        <f t="shared" si="1"/>
        <v/>
      </c>
      <c r="E641" s="22" t="str">
        <f>IF(A641="","",Inputs!$C$6*D641)</f>
        <v/>
      </c>
    </row>
    <row r="642">
      <c r="A642" s="18" t="str">
        <f>'Cashflow Schedule'!B642</f>
        <v/>
      </c>
      <c r="B642" s="18" t="str">
        <f>'Cashflow Schedule'!E642</f>
        <v/>
      </c>
      <c r="C642" s="21" t="str">
        <f>IF(A642="","",EXP(-Inputs!$C$7*A642))</f>
        <v/>
      </c>
      <c r="D642" s="22" t="str">
        <f t="shared" si="1"/>
        <v/>
      </c>
      <c r="E642" s="22" t="str">
        <f>IF(A642="","",Inputs!$C$6*D642)</f>
        <v/>
      </c>
    </row>
    <row r="643">
      <c r="A643" s="18" t="str">
        <f>'Cashflow Schedule'!B643</f>
        <v/>
      </c>
      <c r="B643" s="18" t="str">
        <f>'Cashflow Schedule'!E643</f>
        <v/>
      </c>
      <c r="C643" s="21" t="str">
        <f>IF(A643="","",EXP(-Inputs!$C$7*A643))</f>
        <v/>
      </c>
      <c r="D643" s="22" t="str">
        <f t="shared" si="1"/>
        <v/>
      </c>
      <c r="E643" s="22" t="str">
        <f>IF(A643="","",Inputs!$C$6*D643)</f>
        <v/>
      </c>
    </row>
    <row r="644">
      <c r="A644" s="18" t="str">
        <f>'Cashflow Schedule'!B644</f>
        <v/>
      </c>
      <c r="B644" s="18" t="str">
        <f>'Cashflow Schedule'!E644</f>
        <v/>
      </c>
      <c r="C644" s="21" t="str">
        <f>IF(A644="","",EXP(-Inputs!$C$7*A644))</f>
        <v/>
      </c>
      <c r="D644" s="22" t="str">
        <f t="shared" si="1"/>
        <v/>
      </c>
      <c r="E644" s="22" t="str">
        <f>IF(A644="","",Inputs!$C$6*D644)</f>
        <v/>
      </c>
    </row>
    <row r="645">
      <c r="A645" s="18" t="str">
        <f>'Cashflow Schedule'!B645</f>
        <v/>
      </c>
      <c r="B645" s="18" t="str">
        <f>'Cashflow Schedule'!E645</f>
        <v/>
      </c>
      <c r="C645" s="21" t="str">
        <f>IF(A645="","",EXP(-Inputs!$C$7*A645))</f>
        <v/>
      </c>
      <c r="D645" s="22" t="str">
        <f t="shared" si="1"/>
        <v/>
      </c>
      <c r="E645" s="22" t="str">
        <f>IF(A645="","",Inputs!$C$6*D645)</f>
        <v/>
      </c>
    </row>
    <row r="646">
      <c r="A646" s="18" t="str">
        <f>'Cashflow Schedule'!B646</f>
        <v/>
      </c>
      <c r="B646" s="18" t="str">
        <f>'Cashflow Schedule'!E646</f>
        <v/>
      </c>
      <c r="C646" s="21" t="str">
        <f>IF(A646="","",EXP(-Inputs!$C$7*A646))</f>
        <v/>
      </c>
      <c r="D646" s="22" t="str">
        <f t="shared" si="1"/>
        <v/>
      </c>
      <c r="E646" s="22" t="str">
        <f>IF(A646="","",Inputs!$C$6*D646)</f>
        <v/>
      </c>
    </row>
    <row r="647">
      <c r="A647" s="18" t="str">
        <f>'Cashflow Schedule'!B647</f>
        <v/>
      </c>
      <c r="B647" s="18" t="str">
        <f>'Cashflow Schedule'!E647</f>
        <v/>
      </c>
      <c r="C647" s="21" t="str">
        <f>IF(A647="","",EXP(-Inputs!$C$7*A647))</f>
        <v/>
      </c>
      <c r="D647" s="22" t="str">
        <f t="shared" si="1"/>
        <v/>
      </c>
      <c r="E647" s="22" t="str">
        <f>IF(A647="","",Inputs!$C$6*D647)</f>
        <v/>
      </c>
    </row>
    <row r="648">
      <c r="A648" s="18" t="str">
        <f>'Cashflow Schedule'!B648</f>
        <v/>
      </c>
      <c r="B648" s="18" t="str">
        <f>'Cashflow Schedule'!E648</f>
        <v/>
      </c>
      <c r="C648" s="21" t="str">
        <f>IF(A648="","",EXP(-Inputs!$C$7*A648))</f>
        <v/>
      </c>
      <c r="D648" s="22" t="str">
        <f t="shared" si="1"/>
        <v/>
      </c>
      <c r="E648" s="22" t="str">
        <f>IF(A648="","",Inputs!$C$6*D648)</f>
        <v/>
      </c>
    </row>
    <row r="649">
      <c r="A649" s="18" t="str">
        <f>'Cashflow Schedule'!B649</f>
        <v/>
      </c>
      <c r="B649" s="18" t="str">
        <f>'Cashflow Schedule'!E649</f>
        <v/>
      </c>
      <c r="C649" s="21" t="str">
        <f>IF(A649="","",EXP(-Inputs!$C$7*A649))</f>
        <v/>
      </c>
      <c r="D649" s="22" t="str">
        <f t="shared" si="1"/>
        <v/>
      </c>
      <c r="E649" s="22" t="str">
        <f>IF(A649="","",Inputs!$C$6*D649)</f>
        <v/>
      </c>
    </row>
    <row r="650">
      <c r="A650" s="18" t="str">
        <f>'Cashflow Schedule'!B650</f>
        <v/>
      </c>
      <c r="B650" s="18" t="str">
        <f>'Cashflow Schedule'!E650</f>
        <v/>
      </c>
      <c r="C650" s="21" t="str">
        <f>IF(A650="","",EXP(-Inputs!$C$7*A650))</f>
        <v/>
      </c>
      <c r="D650" s="22" t="str">
        <f t="shared" si="1"/>
        <v/>
      </c>
      <c r="E650" s="22" t="str">
        <f>IF(A650="","",Inputs!$C$6*D650)</f>
        <v/>
      </c>
    </row>
    <row r="651">
      <c r="A651" s="18" t="str">
        <f>'Cashflow Schedule'!B651</f>
        <v/>
      </c>
      <c r="B651" s="18" t="str">
        <f>'Cashflow Schedule'!E651</f>
        <v/>
      </c>
      <c r="C651" s="21" t="str">
        <f>IF(A651="","",EXP(-Inputs!$C$7*A651))</f>
        <v/>
      </c>
      <c r="D651" s="22" t="str">
        <f t="shared" si="1"/>
        <v/>
      </c>
      <c r="E651" s="22" t="str">
        <f>IF(A651="","",Inputs!$C$6*D651)</f>
        <v/>
      </c>
    </row>
    <row r="652">
      <c r="A652" s="18" t="str">
        <f>'Cashflow Schedule'!B652</f>
        <v/>
      </c>
      <c r="B652" s="18" t="str">
        <f>'Cashflow Schedule'!E652</f>
        <v/>
      </c>
      <c r="C652" s="21" t="str">
        <f>IF(A652="","",EXP(-Inputs!$C$7*A652))</f>
        <v/>
      </c>
      <c r="D652" s="22" t="str">
        <f t="shared" si="1"/>
        <v/>
      </c>
      <c r="E652" s="22" t="str">
        <f>IF(A652="","",Inputs!$C$6*D652)</f>
        <v/>
      </c>
    </row>
    <row r="653">
      <c r="A653" s="18" t="str">
        <f>'Cashflow Schedule'!B653</f>
        <v/>
      </c>
      <c r="B653" s="18" t="str">
        <f>'Cashflow Schedule'!E653</f>
        <v/>
      </c>
      <c r="C653" s="21" t="str">
        <f>IF(A653="","",EXP(-Inputs!$C$7*A653))</f>
        <v/>
      </c>
      <c r="D653" s="22" t="str">
        <f t="shared" si="1"/>
        <v/>
      </c>
      <c r="E653" s="22" t="str">
        <f>IF(A653="","",Inputs!$C$6*D653)</f>
        <v/>
      </c>
    </row>
    <row r="654">
      <c r="A654" s="18" t="str">
        <f>'Cashflow Schedule'!B654</f>
        <v/>
      </c>
      <c r="B654" s="18" t="str">
        <f>'Cashflow Schedule'!E654</f>
        <v/>
      </c>
      <c r="C654" s="21" t="str">
        <f>IF(A654="","",EXP(-Inputs!$C$7*A654))</f>
        <v/>
      </c>
      <c r="D654" s="22" t="str">
        <f t="shared" si="1"/>
        <v/>
      </c>
      <c r="E654" s="22" t="str">
        <f>IF(A654="","",Inputs!$C$6*D654)</f>
        <v/>
      </c>
    </row>
    <row r="655">
      <c r="A655" s="18" t="str">
        <f>'Cashflow Schedule'!B655</f>
        <v/>
      </c>
      <c r="B655" s="18" t="str">
        <f>'Cashflow Schedule'!E655</f>
        <v/>
      </c>
      <c r="C655" s="21" t="str">
        <f>IF(A655="","",EXP(-Inputs!$C$7*A655))</f>
        <v/>
      </c>
      <c r="D655" s="22" t="str">
        <f t="shared" si="1"/>
        <v/>
      </c>
      <c r="E655" s="22" t="str">
        <f>IF(A655="","",Inputs!$C$6*D655)</f>
        <v/>
      </c>
    </row>
    <row r="656">
      <c r="A656" s="18" t="str">
        <f>'Cashflow Schedule'!B656</f>
        <v/>
      </c>
      <c r="B656" s="18" t="str">
        <f>'Cashflow Schedule'!E656</f>
        <v/>
      </c>
      <c r="C656" s="21" t="str">
        <f>IF(A656="","",EXP(-Inputs!$C$7*A656))</f>
        <v/>
      </c>
      <c r="D656" s="22" t="str">
        <f t="shared" si="1"/>
        <v/>
      </c>
      <c r="E656" s="22" t="str">
        <f>IF(A656="","",Inputs!$C$6*D656)</f>
        <v/>
      </c>
    </row>
    <row r="657">
      <c r="A657" s="18" t="str">
        <f>'Cashflow Schedule'!B657</f>
        <v/>
      </c>
      <c r="B657" s="18" t="str">
        <f>'Cashflow Schedule'!E657</f>
        <v/>
      </c>
      <c r="C657" s="21" t="str">
        <f>IF(A657="","",EXP(-Inputs!$C$7*A657))</f>
        <v/>
      </c>
      <c r="D657" s="22" t="str">
        <f t="shared" si="1"/>
        <v/>
      </c>
      <c r="E657" s="22" t="str">
        <f>IF(A657="","",Inputs!$C$6*D657)</f>
        <v/>
      </c>
    </row>
    <row r="658">
      <c r="A658" s="18" t="str">
        <f>'Cashflow Schedule'!B658</f>
        <v/>
      </c>
      <c r="B658" s="18" t="str">
        <f>'Cashflow Schedule'!E658</f>
        <v/>
      </c>
      <c r="C658" s="21" t="str">
        <f>IF(A658="","",EXP(-Inputs!$C$7*A658))</f>
        <v/>
      </c>
      <c r="D658" s="22" t="str">
        <f t="shared" si="1"/>
        <v/>
      </c>
      <c r="E658" s="22" t="str">
        <f>IF(A658="","",Inputs!$C$6*D658)</f>
        <v/>
      </c>
    </row>
    <row r="659">
      <c r="A659" s="18" t="str">
        <f>'Cashflow Schedule'!B659</f>
        <v/>
      </c>
      <c r="B659" s="18" t="str">
        <f>'Cashflow Schedule'!E659</f>
        <v/>
      </c>
      <c r="C659" s="21" t="str">
        <f>IF(A659="","",EXP(-Inputs!$C$7*A659))</f>
        <v/>
      </c>
      <c r="D659" s="22" t="str">
        <f t="shared" si="1"/>
        <v/>
      </c>
      <c r="E659" s="22" t="str">
        <f>IF(A659="","",Inputs!$C$6*D659)</f>
        <v/>
      </c>
    </row>
    <row r="660">
      <c r="A660" s="18" t="str">
        <f>'Cashflow Schedule'!B660</f>
        <v/>
      </c>
      <c r="B660" s="18" t="str">
        <f>'Cashflow Schedule'!E660</f>
        <v/>
      </c>
      <c r="C660" s="21" t="str">
        <f>IF(A660="","",EXP(-Inputs!$C$7*A660))</f>
        <v/>
      </c>
      <c r="D660" s="22" t="str">
        <f t="shared" si="1"/>
        <v/>
      </c>
      <c r="E660" s="22" t="str">
        <f>IF(A660="","",Inputs!$C$6*D660)</f>
        <v/>
      </c>
    </row>
    <row r="661">
      <c r="A661" s="18" t="str">
        <f>'Cashflow Schedule'!B661</f>
        <v/>
      </c>
      <c r="B661" s="18" t="str">
        <f>'Cashflow Schedule'!E661</f>
        <v/>
      </c>
      <c r="C661" s="21" t="str">
        <f>IF(A661="","",EXP(-Inputs!$C$7*A661))</f>
        <v/>
      </c>
      <c r="D661" s="22" t="str">
        <f t="shared" si="1"/>
        <v/>
      </c>
      <c r="E661" s="22" t="str">
        <f>IF(A661="","",Inputs!$C$6*D661)</f>
        <v/>
      </c>
    </row>
    <row r="662">
      <c r="A662" s="18" t="str">
        <f>'Cashflow Schedule'!B662</f>
        <v/>
      </c>
      <c r="B662" s="18" t="str">
        <f>'Cashflow Schedule'!E662</f>
        <v/>
      </c>
      <c r="C662" s="21" t="str">
        <f>IF(A662="","",EXP(-Inputs!$C$7*A662))</f>
        <v/>
      </c>
      <c r="D662" s="22" t="str">
        <f t="shared" si="1"/>
        <v/>
      </c>
      <c r="E662" s="22" t="str">
        <f>IF(A662="","",Inputs!$C$6*D662)</f>
        <v/>
      </c>
    </row>
    <row r="663">
      <c r="A663" s="18" t="str">
        <f>'Cashflow Schedule'!B663</f>
        <v/>
      </c>
      <c r="B663" s="18" t="str">
        <f>'Cashflow Schedule'!E663</f>
        <v/>
      </c>
      <c r="C663" s="21" t="str">
        <f>IF(A663="","",EXP(-Inputs!$C$7*A663))</f>
        <v/>
      </c>
      <c r="D663" s="22" t="str">
        <f t="shared" si="1"/>
        <v/>
      </c>
      <c r="E663" s="22" t="str">
        <f>IF(A663="","",Inputs!$C$6*D663)</f>
        <v/>
      </c>
    </row>
    <row r="664">
      <c r="A664" s="18" t="str">
        <f>'Cashflow Schedule'!B664</f>
        <v/>
      </c>
      <c r="B664" s="18" t="str">
        <f>'Cashflow Schedule'!E664</f>
        <v/>
      </c>
      <c r="C664" s="21" t="str">
        <f>IF(A664="","",EXP(-Inputs!$C$7*A664))</f>
        <v/>
      </c>
      <c r="D664" s="22" t="str">
        <f t="shared" si="1"/>
        <v/>
      </c>
      <c r="E664" s="22" t="str">
        <f>IF(A664="","",Inputs!$C$6*D664)</f>
        <v/>
      </c>
    </row>
    <row r="665">
      <c r="A665" s="18" t="str">
        <f>'Cashflow Schedule'!B665</f>
        <v/>
      </c>
      <c r="B665" s="18" t="str">
        <f>'Cashflow Schedule'!E665</f>
        <v/>
      </c>
      <c r="C665" s="21" t="str">
        <f>IF(A665="","",EXP(-Inputs!$C$7*A665))</f>
        <v/>
      </c>
      <c r="D665" s="22" t="str">
        <f t="shared" si="1"/>
        <v/>
      </c>
      <c r="E665" s="22" t="str">
        <f>IF(A665="","",Inputs!$C$6*D665)</f>
        <v/>
      </c>
    </row>
    <row r="666">
      <c r="A666" s="18" t="str">
        <f>'Cashflow Schedule'!B666</f>
        <v/>
      </c>
      <c r="B666" s="18" t="str">
        <f>'Cashflow Schedule'!E666</f>
        <v/>
      </c>
      <c r="C666" s="21" t="str">
        <f>IF(A666="","",EXP(-Inputs!$C$7*A666))</f>
        <v/>
      </c>
      <c r="D666" s="22" t="str">
        <f t="shared" si="1"/>
        <v/>
      </c>
      <c r="E666" s="22" t="str">
        <f>IF(A666="","",Inputs!$C$6*D666)</f>
        <v/>
      </c>
    </row>
    <row r="667">
      <c r="A667" s="18" t="str">
        <f>'Cashflow Schedule'!B667</f>
        <v/>
      </c>
      <c r="B667" s="18" t="str">
        <f>'Cashflow Schedule'!E667</f>
        <v/>
      </c>
      <c r="C667" s="21" t="str">
        <f>IF(A667="","",EXP(-Inputs!$C$7*A667))</f>
        <v/>
      </c>
      <c r="D667" s="22" t="str">
        <f t="shared" si="1"/>
        <v/>
      </c>
      <c r="E667" s="22" t="str">
        <f>IF(A667="","",Inputs!$C$6*D667)</f>
        <v/>
      </c>
    </row>
    <row r="668">
      <c r="A668" s="18" t="str">
        <f>'Cashflow Schedule'!B668</f>
        <v/>
      </c>
      <c r="B668" s="18" t="str">
        <f>'Cashflow Schedule'!E668</f>
        <v/>
      </c>
      <c r="C668" s="21" t="str">
        <f>IF(A668="","",EXP(-Inputs!$C$7*A668))</f>
        <v/>
      </c>
      <c r="D668" s="22" t="str">
        <f t="shared" si="1"/>
        <v/>
      </c>
      <c r="E668" s="22" t="str">
        <f>IF(A668="","",Inputs!$C$6*D668)</f>
        <v/>
      </c>
    </row>
    <row r="669">
      <c r="A669" s="18" t="str">
        <f>'Cashflow Schedule'!B669</f>
        <v/>
      </c>
      <c r="B669" s="18" t="str">
        <f>'Cashflow Schedule'!E669</f>
        <v/>
      </c>
      <c r="C669" s="21" t="str">
        <f>IF(A669="","",EXP(-Inputs!$C$7*A669))</f>
        <v/>
      </c>
      <c r="D669" s="22" t="str">
        <f t="shared" si="1"/>
        <v/>
      </c>
      <c r="E669" s="22" t="str">
        <f>IF(A669="","",Inputs!$C$6*D669)</f>
        <v/>
      </c>
    </row>
    <row r="670">
      <c r="A670" s="18" t="str">
        <f>'Cashflow Schedule'!B670</f>
        <v/>
      </c>
      <c r="B670" s="18" t="str">
        <f>'Cashflow Schedule'!E670</f>
        <v/>
      </c>
      <c r="C670" s="21" t="str">
        <f>IF(A670="","",EXP(-Inputs!$C$7*A670))</f>
        <v/>
      </c>
      <c r="D670" s="22" t="str">
        <f t="shared" si="1"/>
        <v/>
      </c>
      <c r="E670" s="22" t="str">
        <f>IF(A670="","",Inputs!$C$6*D670)</f>
        <v/>
      </c>
    </row>
    <row r="671">
      <c r="A671" s="18" t="str">
        <f>'Cashflow Schedule'!B671</f>
        <v/>
      </c>
      <c r="B671" s="18" t="str">
        <f>'Cashflow Schedule'!E671</f>
        <v/>
      </c>
      <c r="C671" s="21" t="str">
        <f>IF(A671="","",EXP(-Inputs!$C$7*A671))</f>
        <v/>
      </c>
      <c r="D671" s="22" t="str">
        <f t="shared" si="1"/>
        <v/>
      </c>
      <c r="E671" s="22" t="str">
        <f>IF(A671="","",Inputs!$C$6*D671)</f>
        <v/>
      </c>
    </row>
    <row r="672">
      <c r="A672" s="18" t="str">
        <f>'Cashflow Schedule'!B672</f>
        <v/>
      </c>
      <c r="B672" s="18" t="str">
        <f>'Cashflow Schedule'!E672</f>
        <v/>
      </c>
      <c r="C672" s="21" t="str">
        <f>IF(A672="","",EXP(-Inputs!$C$7*A672))</f>
        <v/>
      </c>
      <c r="D672" s="22" t="str">
        <f t="shared" si="1"/>
        <v/>
      </c>
      <c r="E672" s="22" t="str">
        <f>IF(A672="","",Inputs!$C$6*D672)</f>
        <v/>
      </c>
    </row>
    <row r="673">
      <c r="A673" s="18" t="str">
        <f>'Cashflow Schedule'!B673</f>
        <v/>
      </c>
      <c r="B673" s="18" t="str">
        <f>'Cashflow Schedule'!E673</f>
        <v/>
      </c>
      <c r="C673" s="21" t="str">
        <f>IF(A673="","",EXP(-Inputs!$C$7*A673))</f>
        <v/>
      </c>
      <c r="D673" s="22" t="str">
        <f t="shared" si="1"/>
        <v/>
      </c>
      <c r="E673" s="22" t="str">
        <f>IF(A673="","",Inputs!$C$6*D673)</f>
        <v/>
      </c>
    </row>
    <row r="674">
      <c r="A674" s="18" t="str">
        <f>'Cashflow Schedule'!B674</f>
        <v/>
      </c>
      <c r="B674" s="18" t="str">
        <f>'Cashflow Schedule'!E674</f>
        <v/>
      </c>
      <c r="C674" s="21" t="str">
        <f>IF(A674="","",EXP(-Inputs!$C$7*A674))</f>
        <v/>
      </c>
      <c r="D674" s="22" t="str">
        <f t="shared" si="1"/>
        <v/>
      </c>
      <c r="E674" s="22" t="str">
        <f>IF(A674="","",Inputs!$C$6*D674)</f>
        <v/>
      </c>
    </row>
    <row r="675">
      <c r="A675" s="18" t="str">
        <f>'Cashflow Schedule'!B675</f>
        <v/>
      </c>
      <c r="B675" s="18" t="str">
        <f>'Cashflow Schedule'!E675</f>
        <v/>
      </c>
      <c r="C675" s="21" t="str">
        <f>IF(A675="","",EXP(-Inputs!$C$7*A675))</f>
        <v/>
      </c>
      <c r="D675" s="22" t="str">
        <f t="shared" si="1"/>
        <v/>
      </c>
      <c r="E675" s="22" t="str">
        <f>IF(A675="","",Inputs!$C$6*D675)</f>
        <v/>
      </c>
    </row>
    <row r="676">
      <c r="A676" s="18" t="str">
        <f>'Cashflow Schedule'!B676</f>
        <v/>
      </c>
      <c r="B676" s="18" t="str">
        <f>'Cashflow Schedule'!E676</f>
        <v/>
      </c>
      <c r="C676" s="21" t="str">
        <f>IF(A676="","",EXP(-Inputs!$C$7*A676))</f>
        <v/>
      </c>
      <c r="D676" s="22" t="str">
        <f t="shared" si="1"/>
        <v/>
      </c>
      <c r="E676" s="22" t="str">
        <f>IF(A676="","",Inputs!$C$6*D676)</f>
        <v/>
      </c>
    </row>
    <row r="677">
      <c r="A677" s="18" t="str">
        <f>'Cashflow Schedule'!B677</f>
        <v/>
      </c>
      <c r="B677" s="18" t="str">
        <f>'Cashflow Schedule'!E677</f>
        <v/>
      </c>
      <c r="C677" s="21" t="str">
        <f>IF(A677="","",EXP(-Inputs!$C$7*A677))</f>
        <v/>
      </c>
      <c r="D677" s="22" t="str">
        <f t="shared" si="1"/>
        <v/>
      </c>
      <c r="E677" s="22" t="str">
        <f>IF(A677="","",Inputs!$C$6*D677)</f>
        <v/>
      </c>
    </row>
    <row r="678">
      <c r="A678" s="18" t="str">
        <f>'Cashflow Schedule'!B678</f>
        <v/>
      </c>
      <c r="B678" s="18" t="str">
        <f>'Cashflow Schedule'!E678</f>
        <v/>
      </c>
      <c r="C678" s="21" t="str">
        <f>IF(A678="","",EXP(-Inputs!$C$7*A678))</f>
        <v/>
      </c>
      <c r="D678" s="22" t="str">
        <f t="shared" si="1"/>
        <v/>
      </c>
      <c r="E678" s="22" t="str">
        <f>IF(A678="","",Inputs!$C$6*D678)</f>
        <v/>
      </c>
    </row>
    <row r="679">
      <c r="A679" s="18" t="str">
        <f>'Cashflow Schedule'!B679</f>
        <v/>
      </c>
      <c r="B679" s="18" t="str">
        <f>'Cashflow Schedule'!E679</f>
        <v/>
      </c>
      <c r="C679" s="21" t="str">
        <f>IF(A679="","",EXP(-Inputs!$C$7*A679))</f>
        <v/>
      </c>
      <c r="D679" s="22" t="str">
        <f t="shared" si="1"/>
        <v/>
      </c>
      <c r="E679" s="22" t="str">
        <f>IF(A679="","",Inputs!$C$6*D679)</f>
        <v/>
      </c>
    </row>
    <row r="680">
      <c r="A680" s="18" t="str">
        <f>'Cashflow Schedule'!B680</f>
        <v/>
      </c>
      <c r="B680" s="18" t="str">
        <f>'Cashflow Schedule'!E680</f>
        <v/>
      </c>
      <c r="C680" s="21" t="str">
        <f>IF(A680="","",EXP(-Inputs!$C$7*A680))</f>
        <v/>
      </c>
      <c r="D680" s="22" t="str">
        <f t="shared" si="1"/>
        <v/>
      </c>
      <c r="E680" s="22" t="str">
        <f>IF(A680="","",Inputs!$C$6*D680)</f>
        <v/>
      </c>
    </row>
    <row r="681">
      <c r="A681" s="18" t="str">
        <f>'Cashflow Schedule'!B681</f>
        <v/>
      </c>
      <c r="B681" s="18" t="str">
        <f>'Cashflow Schedule'!E681</f>
        <v/>
      </c>
      <c r="C681" s="21" t="str">
        <f>IF(A681="","",EXP(-Inputs!$C$7*A681))</f>
        <v/>
      </c>
      <c r="D681" s="22" t="str">
        <f t="shared" si="1"/>
        <v/>
      </c>
      <c r="E681" s="22" t="str">
        <f>IF(A681="","",Inputs!$C$6*D681)</f>
        <v/>
      </c>
    </row>
    <row r="682">
      <c r="A682" s="18" t="str">
        <f>'Cashflow Schedule'!B682</f>
        <v/>
      </c>
      <c r="B682" s="18" t="str">
        <f>'Cashflow Schedule'!E682</f>
        <v/>
      </c>
      <c r="C682" s="21" t="str">
        <f>IF(A682="","",EXP(-Inputs!$C$7*A682))</f>
        <v/>
      </c>
      <c r="D682" s="22" t="str">
        <f t="shared" si="1"/>
        <v/>
      </c>
      <c r="E682" s="22" t="str">
        <f>IF(A682="","",Inputs!$C$6*D682)</f>
        <v/>
      </c>
    </row>
    <row r="683">
      <c r="A683" s="18" t="str">
        <f>'Cashflow Schedule'!B683</f>
        <v/>
      </c>
      <c r="B683" s="18" t="str">
        <f>'Cashflow Schedule'!E683</f>
        <v/>
      </c>
      <c r="C683" s="21" t="str">
        <f>IF(A683="","",EXP(-Inputs!$C$7*A683))</f>
        <v/>
      </c>
      <c r="D683" s="22" t="str">
        <f t="shared" si="1"/>
        <v/>
      </c>
      <c r="E683" s="22" t="str">
        <f>IF(A683="","",Inputs!$C$6*D683)</f>
        <v/>
      </c>
    </row>
    <row r="684">
      <c r="A684" s="18" t="str">
        <f>'Cashflow Schedule'!B684</f>
        <v/>
      </c>
      <c r="B684" s="18" t="str">
        <f>'Cashflow Schedule'!E684</f>
        <v/>
      </c>
      <c r="C684" s="21" t="str">
        <f>IF(A684="","",EXP(-Inputs!$C$7*A684))</f>
        <v/>
      </c>
      <c r="D684" s="22" t="str">
        <f t="shared" si="1"/>
        <v/>
      </c>
      <c r="E684" s="22" t="str">
        <f>IF(A684="","",Inputs!$C$6*D684)</f>
        <v/>
      </c>
    </row>
    <row r="685">
      <c r="A685" s="18" t="str">
        <f>'Cashflow Schedule'!B685</f>
        <v/>
      </c>
      <c r="B685" s="18" t="str">
        <f>'Cashflow Schedule'!E685</f>
        <v/>
      </c>
      <c r="C685" s="21" t="str">
        <f>IF(A685="","",EXP(-Inputs!$C$7*A685))</f>
        <v/>
      </c>
      <c r="D685" s="22" t="str">
        <f t="shared" si="1"/>
        <v/>
      </c>
      <c r="E685" s="22" t="str">
        <f>IF(A685="","",Inputs!$C$6*D685)</f>
        <v/>
      </c>
    </row>
    <row r="686">
      <c r="A686" s="18" t="str">
        <f>'Cashflow Schedule'!B686</f>
        <v/>
      </c>
      <c r="B686" s="18" t="str">
        <f>'Cashflow Schedule'!E686</f>
        <v/>
      </c>
      <c r="C686" s="21" t="str">
        <f>IF(A686="","",EXP(-Inputs!$C$7*A686))</f>
        <v/>
      </c>
      <c r="D686" s="22" t="str">
        <f t="shared" si="1"/>
        <v/>
      </c>
      <c r="E686" s="22" t="str">
        <f>IF(A686="","",Inputs!$C$6*D686)</f>
        <v/>
      </c>
    </row>
    <row r="687">
      <c r="A687" s="18" t="str">
        <f>'Cashflow Schedule'!B687</f>
        <v/>
      </c>
      <c r="B687" s="18" t="str">
        <f>'Cashflow Schedule'!E687</f>
        <v/>
      </c>
      <c r="C687" s="21" t="str">
        <f>IF(A687="","",EXP(-Inputs!$C$7*A687))</f>
        <v/>
      </c>
      <c r="D687" s="22" t="str">
        <f t="shared" si="1"/>
        <v/>
      </c>
      <c r="E687" s="22" t="str">
        <f>IF(A687="","",Inputs!$C$6*D687)</f>
        <v/>
      </c>
    </row>
    <row r="688">
      <c r="A688" s="18" t="str">
        <f>'Cashflow Schedule'!B688</f>
        <v/>
      </c>
      <c r="B688" s="18" t="str">
        <f>'Cashflow Schedule'!E688</f>
        <v/>
      </c>
      <c r="C688" s="21" t="str">
        <f>IF(A688="","",EXP(-Inputs!$C$7*A688))</f>
        <v/>
      </c>
      <c r="D688" s="22" t="str">
        <f t="shared" si="1"/>
        <v/>
      </c>
      <c r="E688" s="22" t="str">
        <f>IF(A688="","",Inputs!$C$6*D688)</f>
        <v/>
      </c>
    </row>
    <row r="689">
      <c r="A689" s="18" t="str">
        <f>'Cashflow Schedule'!B689</f>
        <v/>
      </c>
      <c r="B689" s="18" t="str">
        <f>'Cashflow Schedule'!E689</f>
        <v/>
      </c>
      <c r="C689" s="21" t="str">
        <f>IF(A689="","",EXP(-Inputs!$C$7*A689))</f>
        <v/>
      </c>
      <c r="D689" s="22" t="str">
        <f t="shared" si="1"/>
        <v/>
      </c>
      <c r="E689" s="22" t="str">
        <f>IF(A689="","",Inputs!$C$6*D689)</f>
        <v/>
      </c>
    </row>
    <row r="690">
      <c r="A690" s="18" t="str">
        <f>'Cashflow Schedule'!B690</f>
        <v/>
      </c>
      <c r="B690" s="18" t="str">
        <f>'Cashflow Schedule'!E690</f>
        <v/>
      </c>
      <c r="C690" s="21" t="str">
        <f>IF(A690="","",EXP(-Inputs!$C$7*A690))</f>
        <v/>
      </c>
      <c r="D690" s="22" t="str">
        <f t="shared" si="1"/>
        <v/>
      </c>
      <c r="E690" s="22" t="str">
        <f>IF(A690="","",Inputs!$C$6*D690)</f>
        <v/>
      </c>
    </row>
    <row r="691">
      <c r="A691" s="18" t="str">
        <f>'Cashflow Schedule'!B691</f>
        <v/>
      </c>
      <c r="B691" s="18" t="str">
        <f>'Cashflow Schedule'!E691</f>
        <v/>
      </c>
      <c r="C691" s="21" t="str">
        <f>IF(A691="","",EXP(-Inputs!$C$7*A691))</f>
        <v/>
      </c>
      <c r="D691" s="22" t="str">
        <f t="shared" si="1"/>
        <v/>
      </c>
      <c r="E691" s="22" t="str">
        <f>IF(A691="","",Inputs!$C$6*D691)</f>
        <v/>
      </c>
    </row>
    <row r="692">
      <c r="A692" s="18" t="str">
        <f>'Cashflow Schedule'!B692</f>
        <v/>
      </c>
      <c r="B692" s="18" t="str">
        <f>'Cashflow Schedule'!E692</f>
        <v/>
      </c>
      <c r="C692" s="21" t="str">
        <f>IF(A692="","",EXP(-Inputs!$C$7*A692))</f>
        <v/>
      </c>
      <c r="D692" s="22" t="str">
        <f t="shared" si="1"/>
        <v/>
      </c>
      <c r="E692" s="22" t="str">
        <f>IF(A692="","",Inputs!$C$6*D692)</f>
        <v/>
      </c>
    </row>
    <row r="693">
      <c r="A693" s="18" t="str">
        <f>'Cashflow Schedule'!B693</f>
        <v/>
      </c>
      <c r="B693" s="18" t="str">
        <f>'Cashflow Schedule'!E693</f>
        <v/>
      </c>
      <c r="C693" s="21" t="str">
        <f>IF(A693="","",EXP(-Inputs!$C$7*A693))</f>
        <v/>
      </c>
      <c r="D693" s="22" t="str">
        <f t="shared" si="1"/>
        <v/>
      </c>
      <c r="E693" s="22" t="str">
        <f>IF(A693="","",Inputs!$C$6*D693)</f>
        <v/>
      </c>
    </row>
    <row r="694">
      <c r="A694" s="18" t="str">
        <f>'Cashflow Schedule'!B694</f>
        <v/>
      </c>
      <c r="B694" s="18" t="str">
        <f>'Cashflow Schedule'!E694</f>
        <v/>
      </c>
      <c r="C694" s="21" t="str">
        <f>IF(A694="","",EXP(-Inputs!$C$7*A694))</f>
        <v/>
      </c>
      <c r="D694" s="22" t="str">
        <f t="shared" si="1"/>
        <v/>
      </c>
      <c r="E694" s="22" t="str">
        <f>IF(A694="","",Inputs!$C$6*D694)</f>
        <v/>
      </c>
    </row>
    <row r="695">
      <c r="A695" s="18" t="str">
        <f>'Cashflow Schedule'!B695</f>
        <v/>
      </c>
      <c r="B695" s="18" t="str">
        <f>'Cashflow Schedule'!E695</f>
        <v/>
      </c>
      <c r="C695" s="21" t="str">
        <f>IF(A695="","",EXP(-Inputs!$C$7*A695))</f>
        <v/>
      </c>
      <c r="D695" s="22" t="str">
        <f t="shared" si="1"/>
        <v/>
      </c>
      <c r="E695" s="22" t="str">
        <f>IF(A695="","",Inputs!$C$6*D695)</f>
        <v/>
      </c>
    </row>
    <row r="696">
      <c r="A696" s="18" t="str">
        <f>'Cashflow Schedule'!B696</f>
        <v/>
      </c>
      <c r="B696" s="18" t="str">
        <f>'Cashflow Schedule'!E696</f>
        <v/>
      </c>
      <c r="C696" s="21" t="str">
        <f>IF(A696="","",EXP(-Inputs!$C$7*A696))</f>
        <v/>
      </c>
      <c r="D696" s="22" t="str">
        <f t="shared" si="1"/>
        <v/>
      </c>
      <c r="E696" s="22" t="str">
        <f>IF(A696="","",Inputs!$C$6*D696)</f>
        <v/>
      </c>
    </row>
    <row r="697">
      <c r="A697" s="18" t="str">
        <f>'Cashflow Schedule'!B697</f>
        <v/>
      </c>
      <c r="B697" s="18" t="str">
        <f>'Cashflow Schedule'!E697</f>
        <v/>
      </c>
      <c r="C697" s="21" t="str">
        <f>IF(A697="","",EXP(-Inputs!$C$7*A697))</f>
        <v/>
      </c>
      <c r="D697" s="22" t="str">
        <f t="shared" si="1"/>
        <v/>
      </c>
      <c r="E697" s="22" t="str">
        <f>IF(A697="","",Inputs!$C$6*D697)</f>
        <v/>
      </c>
    </row>
    <row r="698">
      <c r="A698" s="18" t="str">
        <f>'Cashflow Schedule'!B698</f>
        <v/>
      </c>
      <c r="B698" s="18" t="str">
        <f>'Cashflow Schedule'!E698</f>
        <v/>
      </c>
      <c r="C698" s="21" t="str">
        <f>IF(A698="","",EXP(-Inputs!$C$7*A698))</f>
        <v/>
      </c>
      <c r="D698" s="22" t="str">
        <f t="shared" si="1"/>
        <v/>
      </c>
      <c r="E698" s="22" t="str">
        <f>IF(A698="","",Inputs!$C$6*D698)</f>
        <v/>
      </c>
    </row>
    <row r="699">
      <c r="A699" s="18" t="str">
        <f>'Cashflow Schedule'!B699</f>
        <v/>
      </c>
      <c r="B699" s="18" t="str">
        <f>'Cashflow Schedule'!E699</f>
        <v/>
      </c>
      <c r="C699" s="21" t="str">
        <f>IF(A699="","",EXP(-Inputs!$C$7*A699))</f>
        <v/>
      </c>
      <c r="D699" s="22" t="str">
        <f t="shared" si="1"/>
        <v/>
      </c>
      <c r="E699" s="22" t="str">
        <f>IF(A699="","",Inputs!$C$6*D699)</f>
        <v/>
      </c>
    </row>
    <row r="700">
      <c r="A700" s="18" t="str">
        <f>'Cashflow Schedule'!B700</f>
        <v/>
      </c>
      <c r="B700" s="18" t="str">
        <f>'Cashflow Schedule'!E700</f>
        <v/>
      </c>
      <c r="C700" s="21" t="str">
        <f>IF(A700="","",EXP(-Inputs!$C$7*A700))</f>
        <v/>
      </c>
      <c r="D700" s="22" t="str">
        <f t="shared" si="1"/>
        <v/>
      </c>
      <c r="E700" s="22" t="str">
        <f>IF(A700="","",Inputs!$C$6*D700)</f>
        <v/>
      </c>
    </row>
    <row r="701">
      <c r="A701" s="18" t="str">
        <f>'Cashflow Schedule'!B701</f>
        <v/>
      </c>
      <c r="B701" s="18" t="str">
        <f>'Cashflow Schedule'!E701</f>
        <v/>
      </c>
      <c r="C701" s="21" t="str">
        <f>IF(A701="","",EXP(-Inputs!$C$7*A701))</f>
        <v/>
      </c>
      <c r="D701" s="22" t="str">
        <f t="shared" si="1"/>
        <v/>
      </c>
      <c r="E701" s="22" t="str">
        <f>IF(A701="","",Inputs!$C$6*D701)</f>
        <v/>
      </c>
    </row>
    <row r="702">
      <c r="A702" s="18" t="str">
        <f>'Cashflow Schedule'!B702</f>
        <v/>
      </c>
      <c r="B702" s="18" t="str">
        <f>'Cashflow Schedule'!E702</f>
        <v/>
      </c>
      <c r="C702" s="21" t="str">
        <f>IF(A702="","",EXP(-Inputs!$C$7*A702))</f>
        <v/>
      </c>
      <c r="D702" s="22" t="str">
        <f t="shared" si="1"/>
        <v/>
      </c>
      <c r="E702" s="22" t="str">
        <f>IF(A702="","",Inputs!$C$6*D702)</f>
        <v/>
      </c>
    </row>
    <row r="703">
      <c r="A703" s="18" t="str">
        <f>'Cashflow Schedule'!B703</f>
        <v/>
      </c>
      <c r="B703" s="18" t="str">
        <f>'Cashflow Schedule'!E703</f>
        <v/>
      </c>
      <c r="C703" s="21" t="str">
        <f>IF(A703="","",EXP(-Inputs!$C$7*A703))</f>
        <v/>
      </c>
      <c r="D703" s="22" t="str">
        <f t="shared" si="1"/>
        <v/>
      </c>
      <c r="E703" s="22" t="str">
        <f>IF(A703="","",Inputs!$C$6*D703)</f>
        <v/>
      </c>
    </row>
    <row r="704">
      <c r="A704" s="18" t="str">
        <f>'Cashflow Schedule'!B704</f>
        <v/>
      </c>
      <c r="B704" s="18" t="str">
        <f>'Cashflow Schedule'!E704</f>
        <v/>
      </c>
      <c r="C704" s="21" t="str">
        <f>IF(A704="","",EXP(-Inputs!$C$7*A704))</f>
        <v/>
      </c>
      <c r="D704" s="22" t="str">
        <f t="shared" si="1"/>
        <v/>
      </c>
      <c r="E704" s="22" t="str">
        <f>IF(A704="","",Inputs!$C$6*D704)</f>
        <v/>
      </c>
    </row>
    <row r="705">
      <c r="A705" s="18" t="str">
        <f>'Cashflow Schedule'!B705</f>
        <v/>
      </c>
      <c r="B705" s="18" t="str">
        <f>'Cashflow Schedule'!E705</f>
        <v/>
      </c>
      <c r="C705" s="21" t="str">
        <f>IF(A705="","",EXP(-Inputs!$C$7*A705))</f>
        <v/>
      </c>
      <c r="D705" s="22" t="str">
        <f t="shared" si="1"/>
        <v/>
      </c>
      <c r="E705" s="22" t="str">
        <f>IF(A705="","",Inputs!$C$6*D705)</f>
        <v/>
      </c>
    </row>
    <row r="706">
      <c r="A706" s="18" t="str">
        <f>'Cashflow Schedule'!B706</f>
        <v/>
      </c>
      <c r="B706" s="18" t="str">
        <f>'Cashflow Schedule'!E706</f>
        <v/>
      </c>
      <c r="C706" s="21" t="str">
        <f>IF(A706="","",EXP(-Inputs!$C$7*A706))</f>
        <v/>
      </c>
      <c r="D706" s="22" t="str">
        <f t="shared" si="1"/>
        <v/>
      </c>
      <c r="E706" s="22" t="str">
        <f>IF(A706="","",Inputs!$C$6*D706)</f>
        <v/>
      </c>
    </row>
    <row r="707">
      <c r="A707" s="18" t="str">
        <f>'Cashflow Schedule'!B707</f>
        <v/>
      </c>
      <c r="B707" s="18" t="str">
        <f>'Cashflow Schedule'!E707</f>
        <v/>
      </c>
      <c r="C707" s="21" t="str">
        <f>IF(A707="","",EXP(-Inputs!$C$7*A707))</f>
        <v/>
      </c>
      <c r="D707" s="22" t="str">
        <f t="shared" si="1"/>
        <v/>
      </c>
      <c r="E707" s="22" t="str">
        <f>IF(A707="","",Inputs!$C$6*D707)</f>
        <v/>
      </c>
    </row>
    <row r="708">
      <c r="A708" s="18" t="str">
        <f>'Cashflow Schedule'!B708</f>
        <v/>
      </c>
      <c r="B708" s="18" t="str">
        <f>'Cashflow Schedule'!E708</f>
        <v/>
      </c>
      <c r="C708" s="21" t="str">
        <f>IF(A708="","",EXP(-Inputs!$C$7*A708))</f>
        <v/>
      </c>
      <c r="D708" s="22" t="str">
        <f t="shared" si="1"/>
        <v/>
      </c>
      <c r="E708" s="22" t="str">
        <f>IF(A708="","",Inputs!$C$6*D708)</f>
        <v/>
      </c>
    </row>
    <row r="709">
      <c r="A709" s="18" t="str">
        <f>'Cashflow Schedule'!B709</f>
        <v/>
      </c>
      <c r="B709" s="18" t="str">
        <f>'Cashflow Schedule'!E709</f>
        <v/>
      </c>
      <c r="C709" s="21" t="str">
        <f>IF(A709="","",EXP(-Inputs!$C$7*A709))</f>
        <v/>
      </c>
      <c r="D709" s="22" t="str">
        <f t="shared" si="1"/>
        <v/>
      </c>
      <c r="E709" s="22" t="str">
        <f>IF(A709="","",Inputs!$C$6*D709)</f>
        <v/>
      </c>
    </row>
    <row r="710">
      <c r="A710" s="18" t="str">
        <f>'Cashflow Schedule'!B710</f>
        <v/>
      </c>
      <c r="B710" s="18" t="str">
        <f>'Cashflow Schedule'!E710</f>
        <v/>
      </c>
      <c r="C710" s="21" t="str">
        <f>IF(A710="","",EXP(-Inputs!$C$7*A710))</f>
        <v/>
      </c>
      <c r="D710" s="22" t="str">
        <f t="shared" si="1"/>
        <v/>
      </c>
      <c r="E710" s="22" t="str">
        <f>IF(A710="","",Inputs!$C$6*D710)</f>
        <v/>
      </c>
    </row>
    <row r="711">
      <c r="A711" s="18" t="str">
        <f>'Cashflow Schedule'!B711</f>
        <v/>
      </c>
      <c r="B711" s="18" t="str">
        <f>'Cashflow Schedule'!E711</f>
        <v/>
      </c>
      <c r="C711" s="21" t="str">
        <f>IF(A711="","",EXP(-Inputs!$C$7*A711))</f>
        <v/>
      </c>
      <c r="D711" s="22" t="str">
        <f t="shared" si="1"/>
        <v/>
      </c>
      <c r="E711" s="22" t="str">
        <f>IF(A711="","",Inputs!$C$6*D711)</f>
        <v/>
      </c>
    </row>
    <row r="712">
      <c r="A712" s="18" t="str">
        <f>'Cashflow Schedule'!B712</f>
        <v/>
      </c>
      <c r="B712" s="18" t="str">
        <f>'Cashflow Schedule'!E712</f>
        <v/>
      </c>
      <c r="C712" s="21" t="str">
        <f>IF(A712="","",EXP(-Inputs!$C$7*A712))</f>
        <v/>
      </c>
      <c r="D712" s="22" t="str">
        <f t="shared" si="1"/>
        <v/>
      </c>
      <c r="E712" s="22" t="str">
        <f>IF(A712="","",Inputs!$C$6*D712)</f>
        <v/>
      </c>
    </row>
    <row r="713">
      <c r="A713" s="18" t="str">
        <f>'Cashflow Schedule'!B713</f>
        <v/>
      </c>
      <c r="B713" s="18" t="str">
        <f>'Cashflow Schedule'!E713</f>
        <v/>
      </c>
      <c r="C713" s="21" t="str">
        <f>IF(A713="","",EXP(-Inputs!$C$7*A713))</f>
        <v/>
      </c>
      <c r="D713" s="22" t="str">
        <f t="shared" si="1"/>
        <v/>
      </c>
      <c r="E713" s="22" t="str">
        <f>IF(A713="","",Inputs!$C$6*D713)</f>
        <v/>
      </c>
    </row>
    <row r="714">
      <c r="A714" s="18" t="str">
        <f>'Cashflow Schedule'!B714</f>
        <v/>
      </c>
      <c r="B714" s="18" t="str">
        <f>'Cashflow Schedule'!E714</f>
        <v/>
      </c>
      <c r="C714" s="21" t="str">
        <f>IF(A714="","",EXP(-Inputs!$C$7*A714))</f>
        <v/>
      </c>
      <c r="D714" s="22" t="str">
        <f t="shared" si="1"/>
        <v/>
      </c>
      <c r="E714" s="22" t="str">
        <f>IF(A714="","",Inputs!$C$6*D714)</f>
        <v/>
      </c>
    </row>
    <row r="715">
      <c r="A715" s="18" t="str">
        <f>'Cashflow Schedule'!B715</f>
        <v/>
      </c>
      <c r="B715" s="18" t="str">
        <f>'Cashflow Schedule'!E715</f>
        <v/>
      </c>
      <c r="C715" s="21" t="str">
        <f>IF(A715="","",EXP(-Inputs!$C$7*A715))</f>
        <v/>
      </c>
      <c r="D715" s="22" t="str">
        <f t="shared" si="1"/>
        <v/>
      </c>
      <c r="E715" s="22" t="str">
        <f>IF(A715="","",Inputs!$C$6*D715)</f>
        <v/>
      </c>
    </row>
    <row r="716">
      <c r="A716" s="18" t="str">
        <f>'Cashflow Schedule'!B716</f>
        <v/>
      </c>
      <c r="B716" s="18" t="str">
        <f>'Cashflow Schedule'!E716</f>
        <v/>
      </c>
      <c r="C716" s="21" t="str">
        <f>IF(A716="","",EXP(-Inputs!$C$7*A716))</f>
        <v/>
      </c>
      <c r="D716" s="22" t="str">
        <f t="shared" si="1"/>
        <v/>
      </c>
      <c r="E716" s="22" t="str">
        <f>IF(A716="","",Inputs!$C$6*D716)</f>
        <v/>
      </c>
    </row>
    <row r="717">
      <c r="A717" s="18" t="str">
        <f>'Cashflow Schedule'!B717</f>
        <v/>
      </c>
      <c r="B717" s="18" t="str">
        <f>'Cashflow Schedule'!E717</f>
        <v/>
      </c>
      <c r="C717" s="21" t="str">
        <f>IF(A717="","",EXP(-Inputs!$C$7*A717))</f>
        <v/>
      </c>
      <c r="D717" s="22" t="str">
        <f t="shared" si="1"/>
        <v/>
      </c>
      <c r="E717" s="22" t="str">
        <f>IF(A717="","",Inputs!$C$6*D717)</f>
        <v/>
      </c>
    </row>
    <row r="718">
      <c r="A718" s="18" t="str">
        <f>'Cashflow Schedule'!B718</f>
        <v/>
      </c>
      <c r="B718" s="18" t="str">
        <f>'Cashflow Schedule'!E718</f>
        <v/>
      </c>
      <c r="C718" s="21" t="str">
        <f>IF(A718="","",EXP(-Inputs!$C$7*A718))</f>
        <v/>
      </c>
      <c r="D718" s="22" t="str">
        <f t="shared" si="1"/>
        <v/>
      </c>
      <c r="E718" s="22" t="str">
        <f>IF(A718="","",Inputs!$C$6*D718)</f>
        <v/>
      </c>
    </row>
    <row r="719">
      <c r="A719" s="18" t="str">
        <f>'Cashflow Schedule'!B719</f>
        <v/>
      </c>
      <c r="B719" s="18" t="str">
        <f>'Cashflow Schedule'!E719</f>
        <v/>
      </c>
      <c r="C719" s="21" t="str">
        <f>IF(A719="","",EXP(-Inputs!$C$7*A719))</f>
        <v/>
      </c>
      <c r="D719" s="22" t="str">
        <f t="shared" si="1"/>
        <v/>
      </c>
      <c r="E719" s="22" t="str">
        <f>IF(A719="","",Inputs!$C$6*D719)</f>
        <v/>
      </c>
    </row>
    <row r="720">
      <c r="A720" s="18" t="str">
        <f>'Cashflow Schedule'!B720</f>
        <v/>
      </c>
      <c r="B720" s="18" t="str">
        <f>'Cashflow Schedule'!E720</f>
        <v/>
      </c>
      <c r="C720" s="21" t="str">
        <f>IF(A720="","",EXP(-Inputs!$C$7*A720))</f>
        <v/>
      </c>
      <c r="D720" s="22" t="str">
        <f t="shared" si="1"/>
        <v/>
      </c>
      <c r="E720" s="22" t="str">
        <f>IF(A720="","",Inputs!$C$6*D720)</f>
        <v/>
      </c>
    </row>
    <row r="721">
      <c r="A721" s="18" t="str">
        <f>'Cashflow Schedule'!B721</f>
        <v/>
      </c>
      <c r="B721" s="18" t="str">
        <f>'Cashflow Schedule'!E721</f>
        <v/>
      </c>
      <c r="C721" s="21" t="str">
        <f>IF(A721="","",EXP(-Inputs!$C$7*A721))</f>
        <v/>
      </c>
      <c r="D721" s="22" t="str">
        <f t="shared" si="1"/>
        <v/>
      </c>
      <c r="E721" s="22" t="str">
        <f>IF(A721="","",Inputs!$C$6*D721)</f>
        <v/>
      </c>
    </row>
    <row r="722">
      <c r="A722" s="18" t="str">
        <f>'Cashflow Schedule'!B722</f>
        <v/>
      </c>
      <c r="B722" s="18" t="str">
        <f>'Cashflow Schedule'!E722</f>
        <v/>
      </c>
      <c r="C722" s="21" t="str">
        <f>IF(A722="","",EXP(-Inputs!$C$7*A722))</f>
        <v/>
      </c>
      <c r="D722" s="22" t="str">
        <f t="shared" si="1"/>
        <v/>
      </c>
      <c r="E722" s="22" t="str">
        <f>IF(A722="","",Inputs!$C$6*D722)</f>
        <v/>
      </c>
    </row>
    <row r="723">
      <c r="A723" s="18" t="str">
        <f>'Cashflow Schedule'!B723</f>
        <v/>
      </c>
      <c r="B723" s="18" t="str">
        <f>'Cashflow Schedule'!E723</f>
        <v/>
      </c>
      <c r="C723" s="21" t="str">
        <f>IF(A723="","",EXP(-Inputs!$C$7*A723))</f>
        <v/>
      </c>
      <c r="D723" s="22" t="str">
        <f t="shared" si="1"/>
        <v/>
      </c>
      <c r="E723" s="22" t="str">
        <f>IF(A723="","",Inputs!$C$6*D723)</f>
        <v/>
      </c>
    </row>
    <row r="724">
      <c r="A724" s="18" t="str">
        <f>'Cashflow Schedule'!B724</f>
        <v/>
      </c>
      <c r="B724" s="18" t="str">
        <f>'Cashflow Schedule'!E724</f>
        <v/>
      </c>
      <c r="C724" s="21" t="str">
        <f>IF(A724="","",EXP(-Inputs!$C$7*A724))</f>
        <v/>
      </c>
      <c r="D724" s="22" t="str">
        <f t="shared" si="1"/>
        <v/>
      </c>
      <c r="E724" s="22" t="str">
        <f>IF(A724="","",Inputs!$C$6*D724)</f>
        <v/>
      </c>
    </row>
    <row r="725">
      <c r="A725" s="18" t="str">
        <f>'Cashflow Schedule'!B725</f>
        <v/>
      </c>
      <c r="B725" s="18" t="str">
        <f>'Cashflow Schedule'!E725</f>
        <v/>
      </c>
      <c r="C725" s="21" t="str">
        <f>IF(A725="","",EXP(-Inputs!$C$7*A725))</f>
        <v/>
      </c>
      <c r="D725" s="22" t="str">
        <f t="shared" si="1"/>
        <v/>
      </c>
      <c r="E725" s="22" t="str">
        <f>IF(A725="","",Inputs!$C$6*D725)</f>
        <v/>
      </c>
    </row>
    <row r="726">
      <c r="A726" s="18" t="str">
        <f>'Cashflow Schedule'!B726</f>
        <v/>
      </c>
      <c r="B726" s="18" t="str">
        <f>'Cashflow Schedule'!E726</f>
        <v/>
      </c>
      <c r="C726" s="21" t="str">
        <f>IF(A726="","",EXP(-Inputs!$C$7*A726))</f>
        <v/>
      </c>
      <c r="D726" s="22" t="str">
        <f t="shared" si="1"/>
        <v/>
      </c>
      <c r="E726" s="22" t="str">
        <f>IF(A726="","",Inputs!$C$6*D726)</f>
        <v/>
      </c>
    </row>
    <row r="727">
      <c r="A727" s="18" t="str">
        <f>'Cashflow Schedule'!B727</f>
        <v/>
      </c>
      <c r="B727" s="18" t="str">
        <f>'Cashflow Schedule'!E727</f>
        <v/>
      </c>
      <c r="C727" s="21" t="str">
        <f>IF(A727="","",EXP(-Inputs!$C$7*A727))</f>
        <v/>
      </c>
      <c r="D727" s="22" t="str">
        <f t="shared" si="1"/>
        <v/>
      </c>
      <c r="E727" s="22" t="str">
        <f>IF(A727="","",Inputs!$C$6*D727)</f>
        <v/>
      </c>
    </row>
    <row r="728">
      <c r="A728" s="18" t="str">
        <f>'Cashflow Schedule'!B728</f>
        <v/>
      </c>
      <c r="B728" s="18" t="str">
        <f>'Cashflow Schedule'!E728</f>
        <v/>
      </c>
      <c r="C728" s="21" t="str">
        <f>IF(A728="","",EXP(-Inputs!$C$7*A728))</f>
        <v/>
      </c>
      <c r="D728" s="22" t="str">
        <f t="shared" si="1"/>
        <v/>
      </c>
      <c r="E728" s="22" t="str">
        <f>IF(A728="","",Inputs!$C$6*D728)</f>
        <v/>
      </c>
    </row>
    <row r="729">
      <c r="A729" s="18" t="str">
        <f>'Cashflow Schedule'!B729</f>
        <v/>
      </c>
      <c r="B729" s="18" t="str">
        <f>'Cashflow Schedule'!E729</f>
        <v/>
      </c>
      <c r="C729" s="21" t="str">
        <f>IF(A729="","",EXP(-Inputs!$C$7*A729))</f>
        <v/>
      </c>
      <c r="D729" s="22" t="str">
        <f t="shared" si="1"/>
        <v/>
      </c>
      <c r="E729" s="22" t="str">
        <f>IF(A729="","",Inputs!$C$6*D729)</f>
        <v/>
      </c>
    </row>
    <row r="730">
      <c r="A730" s="18" t="str">
        <f>'Cashflow Schedule'!B730</f>
        <v/>
      </c>
      <c r="B730" s="18" t="str">
        <f>'Cashflow Schedule'!E730</f>
        <v/>
      </c>
      <c r="C730" s="21" t="str">
        <f>IF(A730="","",EXP(-Inputs!$C$7*A730))</f>
        <v/>
      </c>
      <c r="D730" s="22" t="str">
        <f t="shared" si="1"/>
        <v/>
      </c>
      <c r="E730" s="22" t="str">
        <f>IF(A730="","",Inputs!$C$6*D730)</f>
        <v/>
      </c>
    </row>
    <row r="731">
      <c r="A731" s="18" t="str">
        <f>'Cashflow Schedule'!B731</f>
        <v/>
      </c>
      <c r="B731" s="18" t="str">
        <f>'Cashflow Schedule'!E731</f>
        <v/>
      </c>
      <c r="C731" s="21" t="str">
        <f>IF(A731="","",EXP(-Inputs!$C$7*A731))</f>
        <v/>
      </c>
      <c r="D731" s="22" t="str">
        <f t="shared" si="1"/>
        <v/>
      </c>
      <c r="E731" s="22" t="str">
        <f>IF(A731="","",Inputs!$C$6*D731)</f>
        <v/>
      </c>
    </row>
    <row r="732">
      <c r="A732" s="18" t="str">
        <f>'Cashflow Schedule'!B732</f>
        <v/>
      </c>
      <c r="B732" s="18" t="str">
        <f>'Cashflow Schedule'!E732</f>
        <v/>
      </c>
      <c r="C732" s="21" t="str">
        <f>IF(A732="","",EXP(-Inputs!$C$7*A732))</f>
        <v/>
      </c>
      <c r="D732" s="22" t="str">
        <f t="shared" si="1"/>
        <v/>
      </c>
      <c r="E732" s="22" t="str">
        <f>IF(A732="","",Inputs!$C$6*D732)</f>
        <v/>
      </c>
    </row>
    <row r="733">
      <c r="A733" s="18" t="str">
        <f>'Cashflow Schedule'!B733</f>
        <v/>
      </c>
      <c r="B733" s="18" t="str">
        <f>'Cashflow Schedule'!E733</f>
        <v/>
      </c>
      <c r="C733" s="21" t="str">
        <f>IF(A733="","",EXP(-Inputs!$C$7*A733))</f>
        <v/>
      </c>
      <c r="D733" s="22" t="str">
        <f t="shared" si="1"/>
        <v/>
      </c>
      <c r="E733" s="22" t="str">
        <f>IF(A733="","",Inputs!$C$6*D733)</f>
        <v/>
      </c>
    </row>
    <row r="734">
      <c r="A734" s="18" t="str">
        <f>'Cashflow Schedule'!B734</f>
        <v/>
      </c>
      <c r="B734" s="18" t="str">
        <f>'Cashflow Schedule'!E734</f>
        <v/>
      </c>
      <c r="C734" s="21" t="str">
        <f>IF(A734="","",EXP(-Inputs!$C$7*A734))</f>
        <v/>
      </c>
      <c r="D734" s="22" t="str">
        <f t="shared" si="1"/>
        <v/>
      </c>
      <c r="E734" s="22" t="str">
        <f>IF(A734="","",Inputs!$C$6*D734)</f>
        <v/>
      </c>
    </row>
    <row r="735">
      <c r="A735" s="18" t="str">
        <f>'Cashflow Schedule'!B735</f>
        <v/>
      </c>
      <c r="B735" s="18" t="str">
        <f>'Cashflow Schedule'!E735</f>
        <v/>
      </c>
      <c r="C735" s="21" t="str">
        <f>IF(A735="","",EXP(-Inputs!$C$7*A735))</f>
        <v/>
      </c>
      <c r="D735" s="22" t="str">
        <f t="shared" si="1"/>
        <v/>
      </c>
      <c r="E735" s="22" t="str">
        <f>IF(A735="","",Inputs!$C$6*D735)</f>
        <v/>
      </c>
    </row>
    <row r="736">
      <c r="A736" s="18" t="str">
        <f>'Cashflow Schedule'!B736</f>
        <v/>
      </c>
      <c r="B736" s="18" t="str">
        <f>'Cashflow Schedule'!E736</f>
        <v/>
      </c>
      <c r="C736" s="21" t="str">
        <f>IF(A736="","",EXP(-Inputs!$C$7*A736))</f>
        <v/>
      </c>
      <c r="D736" s="22" t="str">
        <f t="shared" si="1"/>
        <v/>
      </c>
      <c r="E736" s="22" t="str">
        <f>IF(A736="","",Inputs!$C$6*D736)</f>
        <v/>
      </c>
    </row>
    <row r="737">
      <c r="A737" s="18" t="str">
        <f>'Cashflow Schedule'!B737</f>
        <v/>
      </c>
      <c r="B737" s="18" t="str">
        <f>'Cashflow Schedule'!E737</f>
        <v/>
      </c>
      <c r="C737" s="21" t="str">
        <f>IF(A737="","",EXP(-Inputs!$C$7*A737))</f>
        <v/>
      </c>
      <c r="D737" s="22" t="str">
        <f t="shared" si="1"/>
        <v/>
      </c>
      <c r="E737" s="22" t="str">
        <f>IF(A737="","",Inputs!$C$6*D737)</f>
        <v/>
      </c>
    </row>
    <row r="738">
      <c r="A738" s="18" t="str">
        <f>'Cashflow Schedule'!B738</f>
        <v/>
      </c>
      <c r="B738" s="18" t="str">
        <f>'Cashflow Schedule'!E738</f>
        <v/>
      </c>
      <c r="C738" s="21" t="str">
        <f>IF(A738="","",EXP(-Inputs!$C$7*A738))</f>
        <v/>
      </c>
      <c r="D738" s="22" t="str">
        <f t="shared" si="1"/>
        <v/>
      </c>
      <c r="E738" s="22" t="str">
        <f>IF(A738="","",Inputs!$C$6*D738)</f>
        <v/>
      </c>
    </row>
    <row r="739">
      <c r="A739" s="18" t="str">
        <f>'Cashflow Schedule'!B739</f>
        <v/>
      </c>
      <c r="B739" s="18" t="str">
        <f>'Cashflow Schedule'!E739</f>
        <v/>
      </c>
      <c r="C739" s="21" t="str">
        <f>IF(A739="","",EXP(-Inputs!$C$7*A739))</f>
        <v/>
      </c>
      <c r="D739" s="22" t="str">
        <f t="shared" si="1"/>
        <v/>
      </c>
      <c r="E739" s="22" t="str">
        <f>IF(A739="","",Inputs!$C$6*D739)</f>
        <v/>
      </c>
    </row>
    <row r="740">
      <c r="A740" s="18" t="str">
        <f>'Cashflow Schedule'!B740</f>
        <v/>
      </c>
      <c r="B740" s="18" t="str">
        <f>'Cashflow Schedule'!E740</f>
        <v/>
      </c>
      <c r="C740" s="21" t="str">
        <f>IF(A740="","",EXP(-Inputs!$C$7*A740))</f>
        <v/>
      </c>
      <c r="D740" s="22" t="str">
        <f t="shared" si="1"/>
        <v/>
      </c>
      <c r="E740" s="22" t="str">
        <f>IF(A740="","",Inputs!$C$6*D740)</f>
        <v/>
      </c>
    </row>
    <row r="741">
      <c r="A741" s="18" t="str">
        <f>'Cashflow Schedule'!B741</f>
        <v/>
      </c>
      <c r="B741" s="18" t="str">
        <f>'Cashflow Schedule'!E741</f>
        <v/>
      </c>
      <c r="C741" s="21" t="str">
        <f>IF(A741="","",EXP(-Inputs!$C$7*A741))</f>
        <v/>
      </c>
      <c r="D741" s="22" t="str">
        <f t="shared" si="1"/>
        <v/>
      </c>
      <c r="E741" s="22" t="str">
        <f>IF(A741="","",Inputs!$C$6*D741)</f>
        <v/>
      </c>
    </row>
    <row r="742">
      <c r="A742" s="18" t="str">
        <f>'Cashflow Schedule'!B742</f>
        <v/>
      </c>
      <c r="B742" s="18" t="str">
        <f>'Cashflow Schedule'!E742</f>
        <v/>
      </c>
      <c r="C742" s="21" t="str">
        <f>IF(A742="","",EXP(-Inputs!$C$7*A742))</f>
        <v/>
      </c>
      <c r="D742" s="22" t="str">
        <f t="shared" si="1"/>
        <v/>
      </c>
      <c r="E742" s="22" t="str">
        <f>IF(A742="","",Inputs!$C$6*D742)</f>
        <v/>
      </c>
    </row>
    <row r="743">
      <c r="A743" s="18" t="str">
        <f>'Cashflow Schedule'!B743</f>
        <v/>
      </c>
      <c r="B743" s="18" t="str">
        <f>'Cashflow Schedule'!E743</f>
        <v/>
      </c>
      <c r="C743" s="21" t="str">
        <f>IF(A743="","",EXP(-Inputs!$C$7*A743))</f>
        <v/>
      </c>
      <c r="D743" s="22" t="str">
        <f t="shared" si="1"/>
        <v/>
      </c>
      <c r="E743" s="22" t="str">
        <f>IF(A743="","",Inputs!$C$6*D743)</f>
        <v/>
      </c>
    </row>
    <row r="744">
      <c r="A744" s="18" t="str">
        <f>'Cashflow Schedule'!B744</f>
        <v/>
      </c>
      <c r="B744" s="18" t="str">
        <f>'Cashflow Schedule'!E744</f>
        <v/>
      </c>
      <c r="C744" s="21" t="str">
        <f>IF(A744="","",EXP(-Inputs!$C$7*A744))</f>
        <v/>
      </c>
      <c r="D744" s="22" t="str">
        <f t="shared" si="1"/>
        <v/>
      </c>
      <c r="E744" s="22" t="str">
        <f>IF(A744="","",Inputs!$C$6*D744)</f>
        <v/>
      </c>
    </row>
    <row r="745">
      <c r="A745" s="18" t="str">
        <f>'Cashflow Schedule'!B745</f>
        <v/>
      </c>
      <c r="B745" s="18" t="str">
        <f>'Cashflow Schedule'!E745</f>
        <v/>
      </c>
      <c r="C745" s="21" t="str">
        <f>IF(A745="","",EXP(-Inputs!$C$7*A745))</f>
        <v/>
      </c>
      <c r="D745" s="22" t="str">
        <f t="shared" si="1"/>
        <v/>
      </c>
      <c r="E745" s="22" t="str">
        <f>IF(A745="","",Inputs!$C$6*D745)</f>
        <v/>
      </c>
    </row>
    <row r="746">
      <c r="A746" s="18" t="str">
        <f>'Cashflow Schedule'!B746</f>
        <v/>
      </c>
      <c r="B746" s="18" t="str">
        <f>'Cashflow Schedule'!E746</f>
        <v/>
      </c>
      <c r="C746" s="21" t="str">
        <f>IF(A746="","",EXP(-Inputs!$C$7*A746))</f>
        <v/>
      </c>
      <c r="D746" s="22" t="str">
        <f t="shared" si="1"/>
        <v/>
      </c>
      <c r="E746" s="22" t="str">
        <f>IF(A746="","",Inputs!$C$6*D746)</f>
        <v/>
      </c>
    </row>
    <row r="747">
      <c r="A747" s="18" t="str">
        <f>'Cashflow Schedule'!B747</f>
        <v/>
      </c>
      <c r="B747" s="18" t="str">
        <f>'Cashflow Schedule'!E747</f>
        <v/>
      </c>
      <c r="C747" s="21" t="str">
        <f>IF(A747="","",EXP(-Inputs!$C$7*A747))</f>
        <v/>
      </c>
      <c r="D747" s="22" t="str">
        <f t="shared" si="1"/>
        <v/>
      </c>
      <c r="E747" s="22" t="str">
        <f>IF(A747="","",Inputs!$C$6*D747)</f>
        <v/>
      </c>
    </row>
    <row r="748">
      <c r="A748" s="18" t="str">
        <f>'Cashflow Schedule'!B748</f>
        <v/>
      </c>
      <c r="B748" s="18" t="str">
        <f>'Cashflow Schedule'!E748</f>
        <v/>
      </c>
      <c r="C748" s="21" t="str">
        <f>IF(A748="","",EXP(-Inputs!$C$7*A748))</f>
        <v/>
      </c>
      <c r="D748" s="22" t="str">
        <f t="shared" si="1"/>
        <v/>
      </c>
      <c r="E748" s="22" t="str">
        <f>IF(A748="","",Inputs!$C$6*D748)</f>
        <v/>
      </c>
    </row>
    <row r="749">
      <c r="A749" s="18" t="str">
        <f>'Cashflow Schedule'!B749</f>
        <v/>
      </c>
      <c r="B749" s="18" t="str">
        <f>'Cashflow Schedule'!E749</f>
        <v/>
      </c>
      <c r="C749" s="21" t="str">
        <f>IF(A749="","",EXP(-Inputs!$C$7*A749))</f>
        <v/>
      </c>
      <c r="D749" s="22" t="str">
        <f t="shared" si="1"/>
        <v/>
      </c>
      <c r="E749" s="22" t="str">
        <f>IF(A749="","",Inputs!$C$6*D749)</f>
        <v/>
      </c>
    </row>
    <row r="750">
      <c r="A750" s="18" t="str">
        <f>'Cashflow Schedule'!B750</f>
        <v/>
      </c>
      <c r="B750" s="18" t="str">
        <f>'Cashflow Schedule'!E750</f>
        <v/>
      </c>
      <c r="C750" s="21" t="str">
        <f>IF(A750="","",EXP(-Inputs!$C$7*A750))</f>
        <v/>
      </c>
      <c r="D750" s="22" t="str">
        <f t="shared" si="1"/>
        <v/>
      </c>
      <c r="E750" s="22" t="str">
        <f>IF(A750="","",Inputs!$C$6*D750)</f>
        <v/>
      </c>
    </row>
    <row r="751">
      <c r="A751" s="18" t="str">
        <f>'Cashflow Schedule'!B751</f>
        <v/>
      </c>
      <c r="B751" s="18" t="str">
        <f>'Cashflow Schedule'!E751</f>
        <v/>
      </c>
      <c r="C751" s="21" t="str">
        <f>IF(A751="","",EXP(-Inputs!$C$7*A751))</f>
        <v/>
      </c>
      <c r="D751" s="22" t="str">
        <f t="shared" si="1"/>
        <v/>
      </c>
      <c r="E751" s="22" t="str">
        <f>IF(A751="","",Inputs!$C$6*D751)</f>
        <v/>
      </c>
    </row>
    <row r="752">
      <c r="A752" s="18" t="str">
        <f>'Cashflow Schedule'!B752</f>
        <v/>
      </c>
      <c r="B752" s="18" t="str">
        <f>'Cashflow Schedule'!E752</f>
        <v/>
      </c>
      <c r="C752" s="21" t="str">
        <f>IF(A752="","",EXP(-Inputs!$C$7*A752))</f>
        <v/>
      </c>
      <c r="D752" s="22" t="str">
        <f t="shared" si="1"/>
        <v/>
      </c>
      <c r="E752" s="22" t="str">
        <f>IF(A752="","",Inputs!$C$6*D752)</f>
        <v/>
      </c>
    </row>
    <row r="753">
      <c r="A753" s="18" t="str">
        <f>'Cashflow Schedule'!B753</f>
        <v/>
      </c>
      <c r="B753" s="18" t="str">
        <f>'Cashflow Schedule'!E753</f>
        <v/>
      </c>
      <c r="C753" s="21" t="str">
        <f>IF(A753="","",EXP(-Inputs!$C$7*A753))</f>
        <v/>
      </c>
      <c r="D753" s="22" t="str">
        <f t="shared" si="1"/>
        <v/>
      </c>
      <c r="E753" s="22" t="str">
        <f>IF(A753="","",Inputs!$C$6*D753)</f>
        <v/>
      </c>
    </row>
    <row r="754">
      <c r="A754" s="18" t="str">
        <f>'Cashflow Schedule'!B754</f>
        <v/>
      </c>
      <c r="B754" s="18" t="str">
        <f>'Cashflow Schedule'!E754</f>
        <v/>
      </c>
      <c r="C754" s="21" t="str">
        <f>IF(A754="","",EXP(-Inputs!$C$7*A754))</f>
        <v/>
      </c>
      <c r="D754" s="22" t="str">
        <f t="shared" si="1"/>
        <v/>
      </c>
      <c r="E754" s="22" t="str">
        <f>IF(A754="","",Inputs!$C$6*D754)</f>
        <v/>
      </c>
    </row>
    <row r="755">
      <c r="A755" s="18" t="str">
        <f>'Cashflow Schedule'!B755</f>
        <v/>
      </c>
      <c r="B755" s="18" t="str">
        <f>'Cashflow Schedule'!E755</f>
        <v/>
      </c>
      <c r="C755" s="21" t="str">
        <f>IF(A755="","",EXP(-Inputs!$C$7*A755))</f>
        <v/>
      </c>
      <c r="D755" s="22" t="str">
        <f t="shared" si="1"/>
        <v/>
      </c>
      <c r="E755" s="22" t="str">
        <f>IF(A755="","",Inputs!$C$6*D755)</f>
        <v/>
      </c>
    </row>
    <row r="756">
      <c r="A756" s="18" t="str">
        <f>'Cashflow Schedule'!B756</f>
        <v/>
      </c>
      <c r="B756" s="18" t="str">
        <f>'Cashflow Schedule'!E756</f>
        <v/>
      </c>
      <c r="C756" s="21" t="str">
        <f>IF(A756="","",EXP(-Inputs!$C$7*A756))</f>
        <v/>
      </c>
      <c r="D756" s="22" t="str">
        <f t="shared" si="1"/>
        <v/>
      </c>
      <c r="E756" s="22" t="str">
        <f>IF(A756="","",Inputs!$C$6*D756)</f>
        <v/>
      </c>
    </row>
    <row r="757">
      <c r="A757" s="18" t="str">
        <f>'Cashflow Schedule'!B757</f>
        <v/>
      </c>
      <c r="B757" s="18" t="str">
        <f>'Cashflow Schedule'!E757</f>
        <v/>
      </c>
      <c r="C757" s="21" t="str">
        <f>IF(A757="","",EXP(-Inputs!$C$7*A757))</f>
        <v/>
      </c>
      <c r="D757" s="22" t="str">
        <f t="shared" si="1"/>
        <v/>
      </c>
      <c r="E757" s="22" t="str">
        <f>IF(A757="","",Inputs!$C$6*D757)</f>
        <v/>
      </c>
    </row>
    <row r="758">
      <c r="A758" s="18" t="str">
        <f>'Cashflow Schedule'!B758</f>
        <v/>
      </c>
      <c r="B758" s="18" t="str">
        <f>'Cashflow Schedule'!E758</f>
        <v/>
      </c>
      <c r="C758" s="21" t="str">
        <f>IF(A758="","",EXP(-Inputs!$C$7*A758))</f>
        <v/>
      </c>
      <c r="D758" s="22" t="str">
        <f t="shared" si="1"/>
        <v/>
      </c>
      <c r="E758" s="22" t="str">
        <f>IF(A758="","",Inputs!$C$6*D758)</f>
        <v/>
      </c>
    </row>
    <row r="759">
      <c r="A759" s="18" t="str">
        <f>'Cashflow Schedule'!B759</f>
        <v/>
      </c>
      <c r="B759" s="18" t="str">
        <f>'Cashflow Schedule'!E759</f>
        <v/>
      </c>
      <c r="C759" s="21" t="str">
        <f>IF(A759="","",EXP(-Inputs!$C$7*A759))</f>
        <v/>
      </c>
      <c r="D759" s="22" t="str">
        <f t="shared" si="1"/>
        <v/>
      </c>
      <c r="E759" s="22" t="str">
        <f>IF(A759="","",Inputs!$C$6*D759)</f>
        <v/>
      </c>
    </row>
    <row r="760">
      <c r="A760" s="18" t="str">
        <f>'Cashflow Schedule'!B760</f>
        <v/>
      </c>
      <c r="B760" s="18" t="str">
        <f>'Cashflow Schedule'!E760</f>
        <v/>
      </c>
      <c r="C760" s="21" t="str">
        <f>IF(A760="","",EXP(-Inputs!$C$7*A760))</f>
        <v/>
      </c>
      <c r="D760" s="22" t="str">
        <f t="shared" si="1"/>
        <v/>
      </c>
      <c r="E760" s="22" t="str">
        <f>IF(A760="","",Inputs!$C$6*D760)</f>
        <v/>
      </c>
    </row>
    <row r="761">
      <c r="A761" s="18" t="str">
        <f>'Cashflow Schedule'!B761</f>
        <v/>
      </c>
      <c r="B761" s="18" t="str">
        <f>'Cashflow Schedule'!E761</f>
        <v/>
      </c>
      <c r="C761" s="21" t="str">
        <f>IF(A761="","",EXP(-Inputs!$C$7*A761))</f>
        <v/>
      </c>
      <c r="D761" s="22" t="str">
        <f t="shared" si="1"/>
        <v/>
      </c>
      <c r="E761" s="22" t="str">
        <f>IF(A761="","",Inputs!$C$6*D761)</f>
        <v/>
      </c>
    </row>
    <row r="762">
      <c r="A762" s="18" t="str">
        <f>'Cashflow Schedule'!B762</f>
        <v/>
      </c>
      <c r="B762" s="18" t="str">
        <f>'Cashflow Schedule'!E762</f>
        <v/>
      </c>
      <c r="C762" s="21" t="str">
        <f>IF(A762="","",EXP(-Inputs!$C$7*A762))</f>
        <v/>
      </c>
      <c r="D762" s="22" t="str">
        <f t="shared" si="1"/>
        <v/>
      </c>
      <c r="E762" s="22" t="str">
        <f>IF(A762="","",Inputs!$C$6*D762)</f>
        <v/>
      </c>
    </row>
    <row r="763">
      <c r="A763" s="18" t="str">
        <f>'Cashflow Schedule'!B763</f>
        <v/>
      </c>
      <c r="B763" s="18" t="str">
        <f>'Cashflow Schedule'!E763</f>
        <v/>
      </c>
      <c r="C763" s="21" t="str">
        <f>IF(A763="","",EXP(-Inputs!$C$7*A763))</f>
        <v/>
      </c>
      <c r="D763" s="22" t="str">
        <f t="shared" si="1"/>
        <v/>
      </c>
      <c r="E763" s="22" t="str">
        <f>IF(A763="","",Inputs!$C$6*D763)</f>
        <v/>
      </c>
    </row>
    <row r="764">
      <c r="A764" s="18" t="str">
        <f>'Cashflow Schedule'!B764</f>
        <v/>
      </c>
      <c r="B764" s="18" t="str">
        <f>'Cashflow Schedule'!E764</f>
        <v/>
      </c>
      <c r="C764" s="21" t="str">
        <f>IF(A764="","",EXP(-Inputs!$C$7*A764))</f>
        <v/>
      </c>
      <c r="D764" s="22" t="str">
        <f t="shared" si="1"/>
        <v/>
      </c>
      <c r="E764" s="22" t="str">
        <f>IF(A764="","",Inputs!$C$6*D764)</f>
        <v/>
      </c>
    </row>
    <row r="765">
      <c r="A765" s="18" t="str">
        <f>'Cashflow Schedule'!B765</f>
        <v/>
      </c>
      <c r="B765" s="18" t="str">
        <f>'Cashflow Schedule'!E765</f>
        <v/>
      </c>
      <c r="C765" s="21" t="str">
        <f>IF(A765="","",EXP(-Inputs!$C$7*A765))</f>
        <v/>
      </c>
      <c r="D765" s="22" t="str">
        <f t="shared" si="1"/>
        <v/>
      </c>
      <c r="E765" s="22" t="str">
        <f>IF(A765="","",Inputs!$C$6*D765)</f>
        <v/>
      </c>
    </row>
    <row r="766">
      <c r="A766" s="18" t="str">
        <f>'Cashflow Schedule'!B766</f>
        <v/>
      </c>
      <c r="B766" s="18" t="str">
        <f>'Cashflow Schedule'!E766</f>
        <v/>
      </c>
      <c r="C766" s="21" t="str">
        <f>IF(A766="","",EXP(-Inputs!$C$7*A766))</f>
        <v/>
      </c>
      <c r="D766" s="22" t="str">
        <f t="shared" si="1"/>
        <v/>
      </c>
      <c r="E766" s="22" t="str">
        <f>IF(A766="","",Inputs!$C$6*D766)</f>
        <v/>
      </c>
    </row>
    <row r="767">
      <c r="A767" s="18" t="str">
        <f>'Cashflow Schedule'!B767</f>
        <v/>
      </c>
      <c r="B767" s="18" t="str">
        <f>'Cashflow Schedule'!E767</f>
        <v/>
      </c>
      <c r="C767" s="21" t="str">
        <f>IF(A767="","",EXP(-Inputs!$C$7*A767))</f>
        <v/>
      </c>
      <c r="D767" s="22" t="str">
        <f t="shared" si="1"/>
        <v/>
      </c>
      <c r="E767" s="22" t="str">
        <f>IF(A767="","",Inputs!$C$6*D767)</f>
        <v/>
      </c>
    </row>
    <row r="768">
      <c r="A768" s="18" t="str">
        <f>'Cashflow Schedule'!B768</f>
        <v/>
      </c>
      <c r="B768" s="18" t="str">
        <f>'Cashflow Schedule'!E768</f>
        <v/>
      </c>
      <c r="C768" s="21" t="str">
        <f>IF(A768="","",EXP(-Inputs!$C$7*A768))</f>
        <v/>
      </c>
      <c r="D768" s="22" t="str">
        <f t="shared" si="1"/>
        <v/>
      </c>
      <c r="E768" s="22" t="str">
        <f>IF(A768="","",Inputs!$C$6*D768)</f>
        <v/>
      </c>
    </row>
    <row r="769">
      <c r="A769" s="18" t="str">
        <f>'Cashflow Schedule'!B769</f>
        <v/>
      </c>
      <c r="B769" s="18" t="str">
        <f>'Cashflow Schedule'!E769</f>
        <v/>
      </c>
      <c r="C769" s="21" t="str">
        <f>IF(A769="","",EXP(-Inputs!$C$7*A769))</f>
        <v/>
      </c>
      <c r="D769" s="22" t="str">
        <f t="shared" si="1"/>
        <v/>
      </c>
      <c r="E769" s="22" t="str">
        <f>IF(A769="","",Inputs!$C$6*D769)</f>
        <v/>
      </c>
    </row>
    <row r="770">
      <c r="A770" s="18" t="str">
        <f>'Cashflow Schedule'!B770</f>
        <v/>
      </c>
      <c r="B770" s="18" t="str">
        <f>'Cashflow Schedule'!E770</f>
        <v/>
      </c>
      <c r="C770" s="21" t="str">
        <f>IF(A770="","",EXP(-Inputs!$C$7*A770))</f>
        <v/>
      </c>
      <c r="D770" s="22" t="str">
        <f t="shared" si="1"/>
        <v/>
      </c>
      <c r="E770" s="22" t="str">
        <f>IF(A770="","",Inputs!$C$6*D770)</f>
        <v/>
      </c>
    </row>
    <row r="771">
      <c r="A771" s="18" t="str">
        <f>'Cashflow Schedule'!B771</f>
        <v/>
      </c>
      <c r="B771" s="18" t="str">
        <f>'Cashflow Schedule'!E771</f>
        <v/>
      </c>
      <c r="C771" s="21" t="str">
        <f>IF(A771="","",EXP(-Inputs!$C$7*A771))</f>
        <v/>
      </c>
      <c r="D771" s="22" t="str">
        <f t="shared" si="1"/>
        <v/>
      </c>
      <c r="E771" s="22" t="str">
        <f>IF(A771="","",Inputs!$C$6*D771)</f>
        <v/>
      </c>
    </row>
    <row r="772">
      <c r="A772" s="18" t="str">
        <f>'Cashflow Schedule'!B772</f>
        <v/>
      </c>
      <c r="B772" s="18" t="str">
        <f>'Cashflow Schedule'!E772</f>
        <v/>
      </c>
      <c r="C772" s="21" t="str">
        <f>IF(A772="","",EXP(-Inputs!$C$7*A772))</f>
        <v/>
      </c>
      <c r="D772" s="22" t="str">
        <f t="shared" si="1"/>
        <v/>
      </c>
      <c r="E772" s="22" t="str">
        <f>IF(A772="","",Inputs!$C$6*D772)</f>
        <v/>
      </c>
    </row>
    <row r="773">
      <c r="A773" s="18" t="str">
        <f>'Cashflow Schedule'!B773</f>
        <v/>
      </c>
      <c r="B773" s="18" t="str">
        <f>'Cashflow Schedule'!E773</f>
        <v/>
      </c>
      <c r="C773" s="21" t="str">
        <f>IF(A773="","",EXP(-Inputs!$C$7*A773))</f>
        <v/>
      </c>
      <c r="D773" s="22" t="str">
        <f t="shared" si="1"/>
        <v/>
      </c>
      <c r="E773" s="22" t="str">
        <f>IF(A773="","",Inputs!$C$6*D773)</f>
        <v/>
      </c>
    </row>
    <row r="774">
      <c r="A774" s="18" t="str">
        <f>'Cashflow Schedule'!B774</f>
        <v/>
      </c>
      <c r="B774" s="18" t="str">
        <f>'Cashflow Schedule'!E774</f>
        <v/>
      </c>
      <c r="C774" s="21" t="str">
        <f>IF(A774="","",EXP(-Inputs!$C$7*A774))</f>
        <v/>
      </c>
      <c r="D774" s="22" t="str">
        <f t="shared" si="1"/>
        <v/>
      </c>
      <c r="E774" s="22" t="str">
        <f>IF(A774="","",Inputs!$C$6*D774)</f>
        <v/>
      </c>
    </row>
    <row r="775">
      <c r="A775" s="18" t="str">
        <f>'Cashflow Schedule'!B775</f>
        <v/>
      </c>
      <c r="B775" s="18" t="str">
        <f>'Cashflow Schedule'!E775</f>
        <v/>
      </c>
      <c r="C775" s="21" t="str">
        <f>IF(A775="","",EXP(-Inputs!$C$7*A775))</f>
        <v/>
      </c>
      <c r="D775" s="22" t="str">
        <f t="shared" si="1"/>
        <v/>
      </c>
      <c r="E775" s="22" t="str">
        <f>IF(A775="","",Inputs!$C$6*D775)</f>
        <v/>
      </c>
    </row>
    <row r="776">
      <c r="A776" s="18" t="str">
        <f>'Cashflow Schedule'!B776</f>
        <v/>
      </c>
      <c r="B776" s="18" t="str">
        <f>'Cashflow Schedule'!E776</f>
        <v/>
      </c>
      <c r="C776" s="21" t="str">
        <f>IF(A776="","",EXP(-Inputs!$C$7*A776))</f>
        <v/>
      </c>
      <c r="D776" s="22" t="str">
        <f t="shared" si="1"/>
        <v/>
      </c>
      <c r="E776" s="22" t="str">
        <f>IF(A776="","",Inputs!$C$6*D776)</f>
        <v/>
      </c>
    </row>
    <row r="777">
      <c r="A777" s="18" t="str">
        <f>'Cashflow Schedule'!B777</f>
        <v/>
      </c>
      <c r="B777" s="18" t="str">
        <f>'Cashflow Schedule'!E777</f>
        <v/>
      </c>
      <c r="C777" s="21" t="str">
        <f>IF(A777="","",EXP(-Inputs!$C$7*A777))</f>
        <v/>
      </c>
      <c r="D777" s="22" t="str">
        <f t="shared" si="1"/>
        <v/>
      </c>
      <c r="E777" s="22" t="str">
        <f>IF(A777="","",Inputs!$C$6*D777)</f>
        <v/>
      </c>
    </row>
    <row r="778">
      <c r="A778" s="18" t="str">
        <f>'Cashflow Schedule'!B778</f>
        <v/>
      </c>
      <c r="B778" s="18" t="str">
        <f>'Cashflow Schedule'!E778</f>
        <v/>
      </c>
      <c r="C778" s="21" t="str">
        <f>IF(A778="","",EXP(-Inputs!$C$7*A778))</f>
        <v/>
      </c>
      <c r="D778" s="22" t="str">
        <f t="shared" si="1"/>
        <v/>
      </c>
      <c r="E778" s="22" t="str">
        <f>IF(A778="","",Inputs!$C$6*D778)</f>
        <v/>
      </c>
    </row>
    <row r="779">
      <c r="A779" s="18" t="str">
        <f>'Cashflow Schedule'!B779</f>
        <v/>
      </c>
      <c r="B779" s="18" t="str">
        <f>'Cashflow Schedule'!E779</f>
        <v/>
      </c>
      <c r="C779" s="21" t="str">
        <f>IF(A779="","",EXP(-Inputs!$C$7*A779))</f>
        <v/>
      </c>
      <c r="D779" s="22" t="str">
        <f t="shared" si="1"/>
        <v/>
      </c>
      <c r="E779" s="22" t="str">
        <f>IF(A779="","",Inputs!$C$6*D779)</f>
        <v/>
      </c>
    </row>
    <row r="780">
      <c r="A780" s="18" t="str">
        <f>'Cashflow Schedule'!B780</f>
        <v/>
      </c>
      <c r="B780" s="18" t="str">
        <f>'Cashflow Schedule'!E780</f>
        <v/>
      </c>
      <c r="C780" s="21" t="str">
        <f>IF(A780="","",EXP(-Inputs!$C$7*A780))</f>
        <v/>
      </c>
      <c r="D780" s="22" t="str">
        <f t="shared" si="1"/>
        <v/>
      </c>
      <c r="E780" s="22" t="str">
        <f>IF(A780="","",Inputs!$C$6*D780)</f>
        <v/>
      </c>
    </row>
    <row r="781">
      <c r="A781" s="18" t="str">
        <f>'Cashflow Schedule'!B781</f>
        <v/>
      </c>
      <c r="B781" s="18" t="str">
        <f>'Cashflow Schedule'!E781</f>
        <v/>
      </c>
      <c r="C781" s="21" t="str">
        <f>IF(A781="","",EXP(-Inputs!$C$7*A781))</f>
        <v/>
      </c>
      <c r="D781" s="22" t="str">
        <f t="shared" si="1"/>
        <v/>
      </c>
      <c r="E781" s="22" t="str">
        <f>IF(A781="","",Inputs!$C$6*D781)</f>
        <v/>
      </c>
    </row>
    <row r="782">
      <c r="A782" s="18" t="str">
        <f>'Cashflow Schedule'!B782</f>
        <v/>
      </c>
      <c r="B782" s="18" t="str">
        <f>'Cashflow Schedule'!E782</f>
        <v/>
      </c>
      <c r="C782" s="21" t="str">
        <f>IF(A782="","",EXP(-Inputs!$C$7*A782))</f>
        <v/>
      </c>
      <c r="D782" s="22" t="str">
        <f t="shared" si="1"/>
        <v/>
      </c>
      <c r="E782" s="22" t="str">
        <f>IF(A782="","",Inputs!$C$6*D782)</f>
        <v/>
      </c>
    </row>
    <row r="783">
      <c r="A783" s="18" t="str">
        <f>'Cashflow Schedule'!B783</f>
        <v/>
      </c>
      <c r="B783" s="18" t="str">
        <f>'Cashflow Schedule'!E783</f>
        <v/>
      </c>
      <c r="C783" s="21" t="str">
        <f>IF(A783="","",EXP(-Inputs!$C$7*A783))</f>
        <v/>
      </c>
      <c r="D783" s="22" t="str">
        <f t="shared" si="1"/>
        <v/>
      </c>
      <c r="E783" s="22" t="str">
        <f>IF(A783="","",Inputs!$C$6*D783)</f>
        <v/>
      </c>
    </row>
    <row r="784">
      <c r="A784" s="18" t="str">
        <f>'Cashflow Schedule'!B784</f>
        <v/>
      </c>
      <c r="B784" s="18" t="str">
        <f>'Cashflow Schedule'!E784</f>
        <v/>
      </c>
      <c r="C784" s="21" t="str">
        <f>IF(A784="","",EXP(-Inputs!$C$7*A784))</f>
        <v/>
      </c>
      <c r="D784" s="22" t="str">
        <f t="shared" si="1"/>
        <v/>
      </c>
      <c r="E784" s="22" t="str">
        <f>IF(A784="","",Inputs!$C$6*D784)</f>
        <v/>
      </c>
    </row>
    <row r="785">
      <c r="A785" s="18" t="str">
        <f>'Cashflow Schedule'!B785</f>
        <v/>
      </c>
      <c r="B785" s="18" t="str">
        <f>'Cashflow Schedule'!E785</f>
        <v/>
      </c>
      <c r="C785" s="21" t="str">
        <f>IF(A785="","",EXP(-Inputs!$C$7*A785))</f>
        <v/>
      </c>
      <c r="D785" s="22" t="str">
        <f t="shared" si="1"/>
        <v/>
      </c>
      <c r="E785" s="22" t="str">
        <f>IF(A785="","",Inputs!$C$6*D785)</f>
        <v/>
      </c>
    </row>
    <row r="786">
      <c r="A786" s="18" t="str">
        <f>'Cashflow Schedule'!B786</f>
        <v/>
      </c>
      <c r="B786" s="18" t="str">
        <f>'Cashflow Schedule'!E786</f>
        <v/>
      </c>
      <c r="C786" s="21" t="str">
        <f>IF(A786="","",EXP(-Inputs!$C$7*A786))</f>
        <v/>
      </c>
      <c r="D786" s="22" t="str">
        <f t="shared" si="1"/>
        <v/>
      </c>
      <c r="E786" s="22" t="str">
        <f>IF(A786="","",Inputs!$C$6*D786)</f>
        <v/>
      </c>
    </row>
    <row r="787">
      <c r="A787" s="18" t="str">
        <f>'Cashflow Schedule'!B787</f>
        <v/>
      </c>
      <c r="B787" s="18" t="str">
        <f>'Cashflow Schedule'!E787</f>
        <v/>
      </c>
      <c r="C787" s="21" t="str">
        <f>IF(A787="","",EXP(-Inputs!$C$7*A787))</f>
        <v/>
      </c>
      <c r="D787" s="22" t="str">
        <f t="shared" si="1"/>
        <v/>
      </c>
      <c r="E787" s="22" t="str">
        <f>IF(A787="","",Inputs!$C$6*D787)</f>
        <v/>
      </c>
    </row>
    <row r="788">
      <c r="A788" s="18" t="str">
        <f>'Cashflow Schedule'!B788</f>
        <v/>
      </c>
      <c r="B788" s="18" t="str">
        <f>'Cashflow Schedule'!E788</f>
        <v/>
      </c>
      <c r="C788" s="21" t="str">
        <f>IF(A788="","",EXP(-Inputs!$C$7*A788))</f>
        <v/>
      </c>
      <c r="D788" s="22" t="str">
        <f t="shared" si="1"/>
        <v/>
      </c>
      <c r="E788" s="22" t="str">
        <f>IF(A788="","",Inputs!$C$6*D788)</f>
        <v/>
      </c>
    </row>
    <row r="789">
      <c r="A789" s="18" t="str">
        <f>'Cashflow Schedule'!B789</f>
        <v/>
      </c>
      <c r="B789" s="18" t="str">
        <f>'Cashflow Schedule'!E789</f>
        <v/>
      </c>
      <c r="C789" s="21" t="str">
        <f>IF(A789="","",EXP(-Inputs!$C$7*A789))</f>
        <v/>
      </c>
      <c r="D789" s="22" t="str">
        <f t="shared" si="1"/>
        <v/>
      </c>
      <c r="E789" s="22" t="str">
        <f>IF(A789="","",Inputs!$C$6*D789)</f>
        <v/>
      </c>
    </row>
    <row r="790">
      <c r="A790" s="18" t="str">
        <f>'Cashflow Schedule'!B790</f>
        <v/>
      </c>
      <c r="B790" s="18" t="str">
        <f>'Cashflow Schedule'!E790</f>
        <v/>
      </c>
      <c r="C790" s="21" t="str">
        <f>IF(A790="","",EXP(-Inputs!$C$7*A790))</f>
        <v/>
      </c>
      <c r="D790" s="22" t="str">
        <f t="shared" si="1"/>
        <v/>
      </c>
      <c r="E790" s="22" t="str">
        <f>IF(A790="","",Inputs!$C$6*D790)</f>
        <v/>
      </c>
    </row>
    <row r="791">
      <c r="A791" s="18" t="str">
        <f>'Cashflow Schedule'!B791</f>
        <v/>
      </c>
      <c r="B791" s="18" t="str">
        <f>'Cashflow Schedule'!E791</f>
        <v/>
      </c>
      <c r="C791" s="21" t="str">
        <f>IF(A791="","",EXP(-Inputs!$C$7*A791))</f>
        <v/>
      </c>
      <c r="D791" s="22" t="str">
        <f t="shared" si="1"/>
        <v/>
      </c>
      <c r="E791" s="22" t="str">
        <f>IF(A791="","",Inputs!$C$6*D791)</f>
        <v/>
      </c>
    </row>
    <row r="792">
      <c r="A792" s="18" t="str">
        <f>'Cashflow Schedule'!B792</f>
        <v/>
      </c>
      <c r="B792" s="18" t="str">
        <f>'Cashflow Schedule'!E792</f>
        <v/>
      </c>
      <c r="C792" s="21" t="str">
        <f>IF(A792="","",EXP(-Inputs!$C$7*A792))</f>
        <v/>
      </c>
      <c r="D792" s="22" t="str">
        <f t="shared" si="1"/>
        <v/>
      </c>
      <c r="E792" s="22" t="str">
        <f>IF(A792="","",Inputs!$C$6*D792)</f>
        <v/>
      </c>
    </row>
    <row r="793">
      <c r="A793" s="18" t="str">
        <f>'Cashflow Schedule'!B793</f>
        <v/>
      </c>
      <c r="B793" s="18" t="str">
        <f>'Cashflow Schedule'!E793</f>
        <v/>
      </c>
      <c r="C793" s="21" t="str">
        <f>IF(A793="","",EXP(-Inputs!$C$7*A793))</f>
        <v/>
      </c>
      <c r="D793" s="22" t="str">
        <f t="shared" si="1"/>
        <v/>
      </c>
      <c r="E793" s="22" t="str">
        <f>IF(A793="","",Inputs!$C$6*D793)</f>
        <v/>
      </c>
    </row>
    <row r="794">
      <c r="A794" s="18" t="str">
        <f>'Cashflow Schedule'!B794</f>
        <v/>
      </c>
      <c r="B794" s="18" t="str">
        <f>'Cashflow Schedule'!E794</f>
        <v/>
      </c>
      <c r="C794" s="21" t="str">
        <f>IF(A794="","",EXP(-Inputs!$C$7*A794))</f>
        <v/>
      </c>
      <c r="D794" s="22" t="str">
        <f t="shared" si="1"/>
        <v/>
      </c>
      <c r="E794" s="22" t="str">
        <f>IF(A794="","",Inputs!$C$6*D794)</f>
        <v/>
      </c>
    </row>
    <row r="795">
      <c r="A795" s="18" t="str">
        <f>'Cashflow Schedule'!B795</f>
        <v/>
      </c>
      <c r="B795" s="18" t="str">
        <f>'Cashflow Schedule'!E795</f>
        <v/>
      </c>
      <c r="C795" s="21" t="str">
        <f>IF(A795="","",EXP(-Inputs!$C$7*A795))</f>
        <v/>
      </c>
      <c r="D795" s="22" t="str">
        <f t="shared" si="1"/>
        <v/>
      </c>
      <c r="E795" s="22" t="str">
        <f>IF(A795="","",Inputs!$C$6*D795)</f>
        <v/>
      </c>
    </row>
    <row r="796">
      <c r="A796" s="18" t="str">
        <f>'Cashflow Schedule'!B796</f>
        <v/>
      </c>
      <c r="B796" s="18" t="str">
        <f>'Cashflow Schedule'!E796</f>
        <v/>
      </c>
      <c r="C796" s="21" t="str">
        <f>IF(A796="","",EXP(-Inputs!$C$7*A796))</f>
        <v/>
      </c>
      <c r="D796" s="22" t="str">
        <f t="shared" si="1"/>
        <v/>
      </c>
      <c r="E796" s="22" t="str">
        <f>IF(A796="","",Inputs!$C$6*D796)</f>
        <v/>
      </c>
    </row>
    <row r="797">
      <c r="A797" s="18" t="str">
        <f>'Cashflow Schedule'!B797</f>
        <v/>
      </c>
      <c r="B797" s="18" t="str">
        <f>'Cashflow Schedule'!E797</f>
        <v/>
      </c>
      <c r="C797" s="21" t="str">
        <f>IF(A797="","",EXP(-Inputs!$C$7*A797))</f>
        <v/>
      </c>
      <c r="D797" s="22" t="str">
        <f t="shared" si="1"/>
        <v/>
      </c>
      <c r="E797" s="22" t="str">
        <f>IF(A797="","",Inputs!$C$6*D797)</f>
        <v/>
      </c>
    </row>
    <row r="798">
      <c r="A798" s="18" t="str">
        <f>'Cashflow Schedule'!B798</f>
        <v/>
      </c>
      <c r="B798" s="18" t="str">
        <f>'Cashflow Schedule'!E798</f>
        <v/>
      </c>
      <c r="C798" s="21" t="str">
        <f>IF(A798="","",EXP(-Inputs!$C$7*A798))</f>
        <v/>
      </c>
      <c r="D798" s="22" t="str">
        <f t="shared" si="1"/>
        <v/>
      </c>
      <c r="E798" s="22" t="str">
        <f>IF(A798="","",Inputs!$C$6*D798)</f>
        <v/>
      </c>
    </row>
    <row r="799">
      <c r="A799" s="18" t="str">
        <f>'Cashflow Schedule'!B799</f>
        <v/>
      </c>
      <c r="B799" s="18" t="str">
        <f>'Cashflow Schedule'!E799</f>
        <v/>
      </c>
      <c r="C799" s="21" t="str">
        <f>IF(A799="","",EXP(-Inputs!$C$7*A799))</f>
        <v/>
      </c>
      <c r="D799" s="22" t="str">
        <f t="shared" si="1"/>
        <v/>
      </c>
      <c r="E799" s="22" t="str">
        <f>IF(A799="","",Inputs!$C$6*D799)</f>
        <v/>
      </c>
    </row>
    <row r="800">
      <c r="A800" s="18" t="str">
        <f>'Cashflow Schedule'!B800</f>
        <v/>
      </c>
      <c r="B800" s="18" t="str">
        <f>'Cashflow Schedule'!E800</f>
        <v/>
      </c>
      <c r="C800" s="21" t="str">
        <f>IF(A800="","",EXP(-Inputs!$C$7*A800))</f>
        <v/>
      </c>
      <c r="D800" s="22" t="str">
        <f t="shared" si="1"/>
        <v/>
      </c>
      <c r="E800" s="22" t="str">
        <f>IF(A800="","",Inputs!$C$6*D800)</f>
        <v/>
      </c>
    </row>
    <row r="801">
      <c r="A801" s="18" t="str">
        <f>'Cashflow Schedule'!B801</f>
        <v/>
      </c>
      <c r="B801" s="18" t="str">
        <f>'Cashflow Schedule'!E801</f>
        <v/>
      </c>
      <c r="C801" s="21" t="str">
        <f>IF(A801="","",EXP(-Inputs!$C$7*A801))</f>
        <v/>
      </c>
      <c r="D801" s="22" t="str">
        <f t="shared" si="1"/>
        <v/>
      </c>
      <c r="E801" s="22" t="str">
        <f>IF(A801="","",Inputs!$C$6*D801)</f>
        <v/>
      </c>
    </row>
    <row r="802">
      <c r="A802" s="18" t="str">
        <f>'Cashflow Schedule'!B802</f>
        <v/>
      </c>
      <c r="B802" s="18" t="str">
        <f>'Cashflow Schedule'!E802</f>
        <v/>
      </c>
      <c r="C802" s="21" t="str">
        <f>IF(A802="","",EXP(-Inputs!$C$7*A802))</f>
        <v/>
      </c>
      <c r="D802" s="22" t="str">
        <f t="shared" si="1"/>
        <v/>
      </c>
      <c r="E802" s="22" t="str">
        <f>IF(A802="","",Inputs!$C$6*D802)</f>
        <v/>
      </c>
    </row>
    <row r="803">
      <c r="A803" s="18" t="str">
        <f>'Cashflow Schedule'!B803</f>
        <v/>
      </c>
      <c r="B803" s="18" t="str">
        <f>'Cashflow Schedule'!E803</f>
        <v/>
      </c>
      <c r="C803" s="21" t="str">
        <f>IF(A803="","",EXP(-Inputs!$C$7*A803))</f>
        <v/>
      </c>
      <c r="D803" s="22" t="str">
        <f t="shared" si="1"/>
        <v/>
      </c>
      <c r="E803" s="22" t="str">
        <f>IF(A803="","",Inputs!$C$6*D803)</f>
        <v/>
      </c>
    </row>
    <row r="804">
      <c r="A804" s="18" t="str">
        <f>'Cashflow Schedule'!B804</f>
        <v/>
      </c>
      <c r="B804" s="18" t="str">
        <f>'Cashflow Schedule'!E804</f>
        <v/>
      </c>
      <c r="C804" s="21" t="str">
        <f>IF(A804="","",EXP(-Inputs!$C$7*A804))</f>
        <v/>
      </c>
      <c r="D804" s="22" t="str">
        <f t="shared" si="1"/>
        <v/>
      </c>
      <c r="E804" s="22" t="str">
        <f>IF(A804="","",Inputs!$C$6*D804)</f>
        <v/>
      </c>
    </row>
    <row r="805">
      <c r="A805" s="18" t="str">
        <f>'Cashflow Schedule'!B805</f>
        <v/>
      </c>
      <c r="B805" s="18" t="str">
        <f>'Cashflow Schedule'!E805</f>
        <v/>
      </c>
      <c r="C805" s="21" t="str">
        <f>IF(A805="","",EXP(-Inputs!$C$7*A805))</f>
        <v/>
      </c>
      <c r="D805" s="22" t="str">
        <f t="shared" si="1"/>
        <v/>
      </c>
      <c r="E805" s="22" t="str">
        <f>IF(A805="","",Inputs!$C$6*D805)</f>
        <v/>
      </c>
    </row>
    <row r="806">
      <c r="A806" s="18" t="str">
        <f>'Cashflow Schedule'!B806</f>
        <v/>
      </c>
      <c r="B806" s="18" t="str">
        <f>'Cashflow Schedule'!E806</f>
        <v/>
      </c>
      <c r="C806" s="21" t="str">
        <f>IF(A806="","",EXP(-Inputs!$C$7*A806))</f>
        <v/>
      </c>
      <c r="D806" s="22" t="str">
        <f t="shared" si="1"/>
        <v/>
      </c>
      <c r="E806" s="22" t="str">
        <f>IF(A806="","",Inputs!$C$6*D806)</f>
        <v/>
      </c>
    </row>
    <row r="807">
      <c r="A807" s="18" t="str">
        <f>'Cashflow Schedule'!B807</f>
        <v/>
      </c>
      <c r="B807" s="18" t="str">
        <f>'Cashflow Schedule'!E807</f>
        <v/>
      </c>
      <c r="C807" s="21" t="str">
        <f>IF(A807="","",EXP(-Inputs!$C$7*A807))</f>
        <v/>
      </c>
      <c r="D807" s="22" t="str">
        <f t="shared" si="1"/>
        <v/>
      </c>
      <c r="E807" s="22" t="str">
        <f>IF(A807="","",Inputs!$C$6*D807)</f>
        <v/>
      </c>
    </row>
    <row r="808">
      <c r="A808" s="18" t="str">
        <f>'Cashflow Schedule'!B808</f>
        <v/>
      </c>
      <c r="B808" s="18" t="str">
        <f>'Cashflow Schedule'!E808</f>
        <v/>
      </c>
      <c r="C808" s="21" t="str">
        <f>IF(A808="","",EXP(-Inputs!$C$7*A808))</f>
        <v/>
      </c>
      <c r="D808" s="22" t="str">
        <f t="shared" si="1"/>
        <v/>
      </c>
      <c r="E808" s="22" t="str">
        <f>IF(A808="","",Inputs!$C$6*D808)</f>
        <v/>
      </c>
    </row>
    <row r="809">
      <c r="A809" s="18" t="str">
        <f>'Cashflow Schedule'!B809</f>
        <v/>
      </c>
      <c r="B809" s="18" t="str">
        <f>'Cashflow Schedule'!E809</f>
        <v/>
      </c>
      <c r="C809" s="21" t="str">
        <f>IF(A809="","",EXP(-Inputs!$C$7*A809))</f>
        <v/>
      </c>
      <c r="D809" s="22" t="str">
        <f t="shared" si="1"/>
        <v/>
      </c>
      <c r="E809" s="22" t="str">
        <f>IF(A809="","",Inputs!$C$6*D809)</f>
        <v/>
      </c>
    </row>
    <row r="810">
      <c r="A810" s="18" t="str">
        <f>'Cashflow Schedule'!B810</f>
        <v/>
      </c>
      <c r="B810" s="18" t="str">
        <f>'Cashflow Schedule'!E810</f>
        <v/>
      </c>
      <c r="C810" s="21" t="str">
        <f>IF(A810="","",EXP(-Inputs!$C$7*A810))</f>
        <v/>
      </c>
      <c r="D810" s="22" t="str">
        <f t="shared" si="1"/>
        <v/>
      </c>
      <c r="E810" s="22" t="str">
        <f>IF(A810="","",Inputs!$C$6*D810)</f>
        <v/>
      </c>
    </row>
    <row r="811">
      <c r="A811" s="18" t="str">
        <f>'Cashflow Schedule'!B811</f>
        <v/>
      </c>
      <c r="B811" s="18" t="str">
        <f>'Cashflow Schedule'!E811</f>
        <v/>
      </c>
      <c r="C811" s="21" t="str">
        <f>IF(A811="","",EXP(-Inputs!$C$7*A811))</f>
        <v/>
      </c>
      <c r="D811" s="22" t="str">
        <f t="shared" si="1"/>
        <v/>
      </c>
      <c r="E811" s="22" t="str">
        <f>IF(A811="","",Inputs!$C$6*D811)</f>
        <v/>
      </c>
    </row>
    <row r="812">
      <c r="A812" s="18" t="str">
        <f>'Cashflow Schedule'!B812</f>
        <v/>
      </c>
      <c r="B812" s="18" t="str">
        <f>'Cashflow Schedule'!E812</f>
        <v/>
      </c>
      <c r="C812" s="21" t="str">
        <f>IF(A812="","",EXP(-Inputs!$C$7*A812))</f>
        <v/>
      </c>
      <c r="D812" s="22" t="str">
        <f t="shared" si="1"/>
        <v/>
      </c>
      <c r="E812" s="22" t="str">
        <f>IF(A812="","",Inputs!$C$6*D812)</f>
        <v/>
      </c>
    </row>
    <row r="813">
      <c r="A813" s="18" t="str">
        <f>'Cashflow Schedule'!B813</f>
        <v/>
      </c>
      <c r="B813" s="18" t="str">
        <f>'Cashflow Schedule'!E813</f>
        <v/>
      </c>
      <c r="C813" s="21" t="str">
        <f>IF(A813="","",EXP(-Inputs!$C$7*A813))</f>
        <v/>
      </c>
      <c r="D813" s="22" t="str">
        <f t="shared" si="1"/>
        <v/>
      </c>
      <c r="E813" s="22" t="str">
        <f>IF(A813="","",Inputs!$C$6*D813)</f>
        <v/>
      </c>
    </row>
    <row r="814">
      <c r="A814" s="18" t="str">
        <f>'Cashflow Schedule'!B814</f>
        <v/>
      </c>
      <c r="B814" s="18" t="str">
        <f>'Cashflow Schedule'!E814</f>
        <v/>
      </c>
      <c r="C814" s="21" t="str">
        <f>IF(A814="","",EXP(-Inputs!$C$7*A814))</f>
        <v/>
      </c>
      <c r="D814" s="22" t="str">
        <f t="shared" si="1"/>
        <v/>
      </c>
      <c r="E814" s="22" t="str">
        <f>IF(A814="","",Inputs!$C$6*D814)</f>
        <v/>
      </c>
    </row>
    <row r="815">
      <c r="A815" s="18" t="str">
        <f>'Cashflow Schedule'!B815</f>
        <v/>
      </c>
      <c r="B815" s="18" t="str">
        <f>'Cashflow Schedule'!E815</f>
        <v/>
      </c>
      <c r="C815" s="21" t="str">
        <f>IF(A815="","",EXP(-Inputs!$C$7*A815))</f>
        <v/>
      </c>
      <c r="D815" s="22" t="str">
        <f t="shared" si="1"/>
        <v/>
      </c>
      <c r="E815" s="22" t="str">
        <f>IF(A815="","",Inputs!$C$6*D815)</f>
        <v/>
      </c>
    </row>
    <row r="816">
      <c r="A816" s="18" t="str">
        <f>'Cashflow Schedule'!B816</f>
        <v/>
      </c>
      <c r="B816" s="18" t="str">
        <f>'Cashflow Schedule'!E816</f>
        <v/>
      </c>
      <c r="C816" s="21" t="str">
        <f>IF(A816="","",EXP(-Inputs!$C$7*A816))</f>
        <v/>
      </c>
      <c r="D816" s="22" t="str">
        <f t="shared" si="1"/>
        <v/>
      </c>
      <c r="E816" s="22" t="str">
        <f>IF(A816="","",Inputs!$C$6*D816)</f>
        <v/>
      </c>
    </row>
    <row r="817">
      <c r="A817" s="18" t="str">
        <f>'Cashflow Schedule'!B817</f>
        <v/>
      </c>
      <c r="B817" s="18" t="str">
        <f>'Cashflow Schedule'!E817</f>
        <v/>
      </c>
      <c r="C817" s="21" t="str">
        <f>IF(A817="","",EXP(-Inputs!$C$7*A817))</f>
        <v/>
      </c>
      <c r="D817" s="22" t="str">
        <f t="shared" si="1"/>
        <v/>
      </c>
      <c r="E817" s="22" t="str">
        <f>IF(A817="","",Inputs!$C$6*D817)</f>
        <v/>
      </c>
    </row>
    <row r="818">
      <c r="A818" s="18" t="str">
        <f>'Cashflow Schedule'!B818</f>
        <v/>
      </c>
      <c r="B818" s="18" t="str">
        <f>'Cashflow Schedule'!E818</f>
        <v/>
      </c>
      <c r="C818" s="21" t="str">
        <f>IF(A818="","",EXP(-Inputs!$C$7*A818))</f>
        <v/>
      </c>
      <c r="D818" s="22" t="str">
        <f t="shared" si="1"/>
        <v/>
      </c>
      <c r="E818" s="22" t="str">
        <f>IF(A818="","",Inputs!$C$6*D818)</f>
        <v/>
      </c>
    </row>
    <row r="819">
      <c r="A819" s="18" t="str">
        <f>'Cashflow Schedule'!B819</f>
        <v/>
      </c>
      <c r="B819" s="18" t="str">
        <f>'Cashflow Schedule'!E819</f>
        <v/>
      </c>
      <c r="C819" s="21" t="str">
        <f>IF(A819="","",EXP(-Inputs!$C$7*A819))</f>
        <v/>
      </c>
      <c r="D819" s="22" t="str">
        <f t="shared" si="1"/>
        <v/>
      </c>
      <c r="E819" s="22" t="str">
        <f>IF(A819="","",Inputs!$C$6*D819)</f>
        <v/>
      </c>
    </row>
    <row r="820">
      <c r="A820" s="18" t="str">
        <f>'Cashflow Schedule'!B820</f>
        <v/>
      </c>
      <c r="B820" s="18" t="str">
        <f>'Cashflow Schedule'!E820</f>
        <v/>
      </c>
      <c r="C820" s="21" t="str">
        <f>IF(A820="","",EXP(-Inputs!$C$7*A820))</f>
        <v/>
      </c>
      <c r="D820" s="22" t="str">
        <f t="shared" si="1"/>
        <v/>
      </c>
      <c r="E820" s="22" t="str">
        <f>IF(A820="","",Inputs!$C$6*D820)</f>
        <v/>
      </c>
    </row>
    <row r="821">
      <c r="A821" s="18" t="str">
        <f>'Cashflow Schedule'!B821</f>
        <v/>
      </c>
      <c r="B821" s="18" t="str">
        <f>'Cashflow Schedule'!E821</f>
        <v/>
      </c>
      <c r="C821" s="21" t="str">
        <f>IF(A821="","",EXP(-Inputs!$C$7*A821))</f>
        <v/>
      </c>
      <c r="D821" s="22" t="str">
        <f t="shared" si="1"/>
        <v/>
      </c>
      <c r="E821" s="22" t="str">
        <f>IF(A821="","",Inputs!$C$6*D821)</f>
        <v/>
      </c>
    </row>
    <row r="822">
      <c r="A822" s="18" t="str">
        <f>'Cashflow Schedule'!B822</f>
        <v/>
      </c>
      <c r="B822" s="18" t="str">
        <f>'Cashflow Schedule'!E822</f>
        <v/>
      </c>
      <c r="C822" s="21" t="str">
        <f>IF(A822="","",EXP(-Inputs!$C$7*A822))</f>
        <v/>
      </c>
      <c r="D822" s="22" t="str">
        <f t="shared" si="1"/>
        <v/>
      </c>
      <c r="E822" s="22" t="str">
        <f>IF(A822="","",Inputs!$C$6*D822)</f>
        <v/>
      </c>
    </row>
    <row r="823">
      <c r="A823" s="18" t="str">
        <f>'Cashflow Schedule'!B823</f>
        <v/>
      </c>
      <c r="B823" s="18" t="str">
        <f>'Cashflow Schedule'!E823</f>
        <v/>
      </c>
      <c r="C823" s="21" t="str">
        <f>IF(A823="","",EXP(-Inputs!$C$7*A823))</f>
        <v/>
      </c>
      <c r="D823" s="22" t="str">
        <f t="shared" si="1"/>
        <v/>
      </c>
      <c r="E823" s="22" t="str">
        <f>IF(A823="","",Inputs!$C$6*D823)</f>
        <v/>
      </c>
    </row>
    <row r="824">
      <c r="A824" s="18" t="str">
        <f>'Cashflow Schedule'!B824</f>
        <v/>
      </c>
      <c r="B824" s="18" t="str">
        <f>'Cashflow Schedule'!E824</f>
        <v/>
      </c>
      <c r="C824" s="21" t="str">
        <f>IF(A824="","",EXP(-Inputs!$C$7*A824))</f>
        <v/>
      </c>
      <c r="D824" s="22" t="str">
        <f t="shared" si="1"/>
        <v/>
      </c>
      <c r="E824" s="22" t="str">
        <f>IF(A824="","",Inputs!$C$6*D824)</f>
        <v/>
      </c>
    </row>
    <row r="825">
      <c r="A825" s="18" t="str">
        <f>'Cashflow Schedule'!B825</f>
        <v/>
      </c>
      <c r="B825" s="18" t="str">
        <f>'Cashflow Schedule'!E825</f>
        <v/>
      </c>
      <c r="C825" s="21" t="str">
        <f>IF(A825="","",EXP(-Inputs!$C$7*A825))</f>
        <v/>
      </c>
      <c r="D825" s="22" t="str">
        <f t="shared" si="1"/>
        <v/>
      </c>
      <c r="E825" s="22" t="str">
        <f>IF(A825="","",Inputs!$C$6*D825)</f>
        <v/>
      </c>
    </row>
    <row r="826">
      <c r="A826" s="18" t="str">
        <f>'Cashflow Schedule'!B826</f>
        <v/>
      </c>
      <c r="B826" s="18" t="str">
        <f>'Cashflow Schedule'!E826</f>
        <v/>
      </c>
      <c r="C826" s="21" t="str">
        <f>IF(A826="","",EXP(-Inputs!$C$7*A826))</f>
        <v/>
      </c>
      <c r="D826" s="22" t="str">
        <f t="shared" si="1"/>
        <v/>
      </c>
      <c r="E826" s="22" t="str">
        <f>IF(A826="","",Inputs!$C$6*D826)</f>
        <v/>
      </c>
    </row>
    <row r="827">
      <c r="A827" s="18" t="str">
        <f>'Cashflow Schedule'!B827</f>
        <v/>
      </c>
      <c r="B827" s="18" t="str">
        <f>'Cashflow Schedule'!E827</f>
        <v/>
      </c>
      <c r="C827" s="21" t="str">
        <f>IF(A827="","",EXP(-Inputs!$C$7*A827))</f>
        <v/>
      </c>
      <c r="D827" s="22" t="str">
        <f t="shared" si="1"/>
        <v/>
      </c>
      <c r="E827" s="22" t="str">
        <f>IF(A827="","",Inputs!$C$6*D827)</f>
        <v/>
      </c>
    </row>
    <row r="828">
      <c r="A828" s="18" t="str">
        <f>'Cashflow Schedule'!B828</f>
        <v/>
      </c>
      <c r="B828" s="18" t="str">
        <f>'Cashflow Schedule'!E828</f>
        <v/>
      </c>
      <c r="C828" s="21" t="str">
        <f>IF(A828="","",EXP(-Inputs!$C$7*A828))</f>
        <v/>
      </c>
      <c r="D828" s="22" t="str">
        <f t="shared" si="1"/>
        <v/>
      </c>
      <c r="E828" s="22" t="str">
        <f>IF(A828="","",Inputs!$C$6*D828)</f>
        <v/>
      </c>
    </row>
    <row r="829">
      <c r="A829" s="18" t="str">
        <f>'Cashflow Schedule'!B829</f>
        <v/>
      </c>
      <c r="B829" s="18" t="str">
        <f>'Cashflow Schedule'!E829</f>
        <v/>
      </c>
      <c r="C829" s="21" t="str">
        <f>IF(A829="","",EXP(-Inputs!$C$7*A829))</f>
        <v/>
      </c>
      <c r="D829" s="22" t="str">
        <f t="shared" si="1"/>
        <v/>
      </c>
      <c r="E829" s="22" t="str">
        <f>IF(A829="","",Inputs!$C$6*D829)</f>
        <v/>
      </c>
    </row>
    <row r="830">
      <c r="A830" s="18" t="str">
        <f>'Cashflow Schedule'!B830</f>
        <v/>
      </c>
      <c r="B830" s="18" t="str">
        <f>'Cashflow Schedule'!E830</f>
        <v/>
      </c>
      <c r="C830" s="21" t="str">
        <f>IF(A830="","",EXP(-Inputs!$C$7*A830))</f>
        <v/>
      </c>
      <c r="D830" s="22" t="str">
        <f t="shared" si="1"/>
        <v/>
      </c>
      <c r="E830" s="22" t="str">
        <f>IF(A830="","",Inputs!$C$6*D830)</f>
        <v/>
      </c>
    </row>
    <row r="831">
      <c r="A831" s="18" t="str">
        <f>'Cashflow Schedule'!B831</f>
        <v/>
      </c>
      <c r="B831" s="18" t="str">
        <f>'Cashflow Schedule'!E831</f>
        <v/>
      </c>
      <c r="C831" s="21" t="str">
        <f>IF(A831="","",EXP(-Inputs!$C$7*A831))</f>
        <v/>
      </c>
      <c r="D831" s="22" t="str">
        <f t="shared" si="1"/>
        <v/>
      </c>
      <c r="E831" s="22" t="str">
        <f>IF(A831="","",Inputs!$C$6*D831)</f>
        <v/>
      </c>
    </row>
    <row r="832">
      <c r="A832" s="18" t="str">
        <f>'Cashflow Schedule'!B832</f>
        <v/>
      </c>
      <c r="B832" s="18" t="str">
        <f>'Cashflow Schedule'!E832</f>
        <v/>
      </c>
      <c r="C832" s="21" t="str">
        <f>IF(A832="","",EXP(-Inputs!$C$7*A832))</f>
        <v/>
      </c>
      <c r="D832" s="22" t="str">
        <f t="shared" si="1"/>
        <v/>
      </c>
      <c r="E832" s="22" t="str">
        <f>IF(A832="","",Inputs!$C$6*D832)</f>
        <v/>
      </c>
    </row>
    <row r="833">
      <c r="A833" s="18" t="str">
        <f>'Cashflow Schedule'!B833</f>
        <v/>
      </c>
      <c r="B833" s="18" t="str">
        <f>'Cashflow Schedule'!E833</f>
        <v/>
      </c>
      <c r="C833" s="21" t="str">
        <f>IF(A833="","",EXP(-Inputs!$C$7*A833))</f>
        <v/>
      </c>
      <c r="D833" s="22" t="str">
        <f t="shared" si="1"/>
        <v/>
      </c>
      <c r="E833" s="22" t="str">
        <f>IF(A833="","",Inputs!$C$6*D833)</f>
        <v/>
      </c>
    </row>
    <row r="834">
      <c r="A834" s="18" t="str">
        <f>'Cashflow Schedule'!B834</f>
        <v/>
      </c>
      <c r="B834" s="18" t="str">
        <f>'Cashflow Schedule'!E834</f>
        <v/>
      </c>
      <c r="C834" s="21" t="str">
        <f>IF(A834="","",EXP(-Inputs!$C$7*A834))</f>
        <v/>
      </c>
      <c r="D834" s="22" t="str">
        <f t="shared" si="1"/>
        <v/>
      </c>
      <c r="E834" s="22" t="str">
        <f>IF(A834="","",Inputs!$C$6*D834)</f>
        <v/>
      </c>
    </row>
    <row r="835">
      <c r="A835" s="18" t="str">
        <f>'Cashflow Schedule'!B835</f>
        <v/>
      </c>
      <c r="B835" s="18" t="str">
        <f>'Cashflow Schedule'!E835</f>
        <v/>
      </c>
      <c r="C835" s="21" t="str">
        <f>IF(A835="","",EXP(-Inputs!$C$7*A835))</f>
        <v/>
      </c>
      <c r="D835" s="22" t="str">
        <f t="shared" si="1"/>
        <v/>
      </c>
      <c r="E835" s="22" t="str">
        <f>IF(A835="","",Inputs!$C$6*D835)</f>
        <v/>
      </c>
    </row>
    <row r="836">
      <c r="A836" s="18" t="str">
        <f>'Cashflow Schedule'!B836</f>
        <v/>
      </c>
      <c r="B836" s="18" t="str">
        <f>'Cashflow Schedule'!E836</f>
        <v/>
      </c>
      <c r="C836" s="21" t="str">
        <f>IF(A836="","",EXP(-Inputs!$C$7*A836))</f>
        <v/>
      </c>
      <c r="D836" s="22" t="str">
        <f t="shared" si="1"/>
        <v/>
      </c>
      <c r="E836" s="22" t="str">
        <f>IF(A836="","",Inputs!$C$6*D836)</f>
        <v/>
      </c>
    </row>
    <row r="837">
      <c r="A837" s="18" t="str">
        <f>'Cashflow Schedule'!B837</f>
        <v/>
      </c>
      <c r="B837" s="18" t="str">
        <f>'Cashflow Schedule'!E837</f>
        <v/>
      </c>
      <c r="C837" s="21" t="str">
        <f>IF(A837="","",EXP(-Inputs!$C$7*A837))</f>
        <v/>
      </c>
      <c r="D837" s="22" t="str">
        <f t="shared" si="1"/>
        <v/>
      </c>
      <c r="E837" s="22" t="str">
        <f>IF(A837="","",Inputs!$C$6*D837)</f>
        <v/>
      </c>
    </row>
    <row r="838">
      <c r="A838" s="18" t="str">
        <f>'Cashflow Schedule'!B838</f>
        <v/>
      </c>
      <c r="B838" s="18" t="str">
        <f>'Cashflow Schedule'!E838</f>
        <v/>
      </c>
      <c r="C838" s="21" t="str">
        <f>IF(A838="","",EXP(-Inputs!$C$7*A838))</f>
        <v/>
      </c>
      <c r="D838" s="22" t="str">
        <f t="shared" si="1"/>
        <v/>
      </c>
      <c r="E838" s="22" t="str">
        <f>IF(A838="","",Inputs!$C$6*D838)</f>
        <v/>
      </c>
    </row>
    <row r="839">
      <c r="A839" s="18" t="str">
        <f>'Cashflow Schedule'!B839</f>
        <v/>
      </c>
      <c r="B839" s="18" t="str">
        <f>'Cashflow Schedule'!E839</f>
        <v/>
      </c>
      <c r="C839" s="21" t="str">
        <f>IF(A839="","",EXP(-Inputs!$C$7*A839))</f>
        <v/>
      </c>
      <c r="D839" s="22" t="str">
        <f t="shared" si="1"/>
        <v/>
      </c>
      <c r="E839" s="22" t="str">
        <f>IF(A839="","",Inputs!$C$6*D839)</f>
        <v/>
      </c>
    </row>
    <row r="840">
      <c r="A840" s="18" t="str">
        <f>'Cashflow Schedule'!B840</f>
        <v/>
      </c>
      <c r="B840" s="18" t="str">
        <f>'Cashflow Schedule'!E840</f>
        <v/>
      </c>
      <c r="C840" s="21" t="str">
        <f>IF(A840="","",EXP(-Inputs!$C$7*A840))</f>
        <v/>
      </c>
      <c r="D840" s="22" t="str">
        <f t="shared" si="1"/>
        <v/>
      </c>
      <c r="E840" s="22" t="str">
        <f>IF(A840="","",Inputs!$C$6*D840)</f>
        <v/>
      </c>
    </row>
    <row r="841">
      <c r="A841" s="18" t="str">
        <f>'Cashflow Schedule'!B841</f>
        <v/>
      </c>
      <c r="B841" s="18" t="str">
        <f>'Cashflow Schedule'!E841</f>
        <v/>
      </c>
      <c r="C841" s="21" t="str">
        <f>IF(A841="","",EXP(-Inputs!$C$7*A841))</f>
        <v/>
      </c>
      <c r="D841" s="22" t="str">
        <f t="shared" si="1"/>
        <v/>
      </c>
      <c r="E841" s="22" t="str">
        <f>IF(A841="","",Inputs!$C$6*D841)</f>
        <v/>
      </c>
    </row>
    <row r="842">
      <c r="A842" s="18" t="str">
        <f>'Cashflow Schedule'!B842</f>
        <v/>
      </c>
      <c r="B842" s="18" t="str">
        <f>'Cashflow Schedule'!E842</f>
        <v/>
      </c>
      <c r="C842" s="21" t="str">
        <f>IF(A842="","",EXP(-Inputs!$C$7*A842))</f>
        <v/>
      </c>
      <c r="D842" s="22" t="str">
        <f t="shared" si="1"/>
        <v/>
      </c>
      <c r="E842" s="22" t="str">
        <f>IF(A842="","",Inputs!$C$6*D842)</f>
        <v/>
      </c>
    </row>
    <row r="843">
      <c r="A843" s="18" t="str">
        <f>'Cashflow Schedule'!B843</f>
        <v/>
      </c>
      <c r="B843" s="18" t="str">
        <f>'Cashflow Schedule'!E843</f>
        <v/>
      </c>
      <c r="C843" s="21" t="str">
        <f>IF(A843="","",EXP(-Inputs!$C$7*A843))</f>
        <v/>
      </c>
      <c r="D843" s="22" t="str">
        <f t="shared" si="1"/>
        <v/>
      </c>
      <c r="E843" s="22" t="str">
        <f>IF(A843="","",Inputs!$C$6*D843)</f>
        <v/>
      </c>
    </row>
    <row r="844">
      <c r="A844" s="18" t="str">
        <f>'Cashflow Schedule'!B844</f>
        <v/>
      </c>
      <c r="B844" s="18" t="str">
        <f>'Cashflow Schedule'!E844</f>
        <v/>
      </c>
      <c r="C844" s="21" t="str">
        <f>IF(A844="","",EXP(-Inputs!$C$7*A844))</f>
        <v/>
      </c>
      <c r="D844" s="22" t="str">
        <f t="shared" si="1"/>
        <v/>
      </c>
      <c r="E844" s="22" t="str">
        <f>IF(A844="","",Inputs!$C$6*D844)</f>
        <v/>
      </c>
    </row>
    <row r="845">
      <c r="A845" s="18" t="str">
        <f>'Cashflow Schedule'!B845</f>
        <v/>
      </c>
      <c r="B845" s="18" t="str">
        <f>'Cashflow Schedule'!E845</f>
        <v/>
      </c>
      <c r="C845" s="21" t="str">
        <f>IF(A845="","",EXP(-Inputs!$C$7*A845))</f>
        <v/>
      </c>
      <c r="D845" s="22" t="str">
        <f t="shared" si="1"/>
        <v/>
      </c>
      <c r="E845" s="22" t="str">
        <f>IF(A845="","",Inputs!$C$6*D845)</f>
        <v/>
      </c>
    </row>
    <row r="846">
      <c r="A846" s="18" t="str">
        <f>'Cashflow Schedule'!B846</f>
        <v/>
      </c>
      <c r="B846" s="18" t="str">
        <f>'Cashflow Schedule'!E846</f>
        <v/>
      </c>
      <c r="C846" s="21" t="str">
        <f>IF(A846="","",EXP(-Inputs!$C$7*A846))</f>
        <v/>
      </c>
      <c r="D846" s="22" t="str">
        <f t="shared" si="1"/>
        <v/>
      </c>
      <c r="E846" s="22" t="str">
        <f>IF(A846="","",Inputs!$C$6*D846)</f>
        <v/>
      </c>
    </row>
    <row r="847">
      <c r="A847" s="18" t="str">
        <f>'Cashflow Schedule'!B847</f>
        <v/>
      </c>
      <c r="B847" s="18" t="str">
        <f>'Cashflow Schedule'!E847</f>
        <v/>
      </c>
      <c r="C847" s="21" t="str">
        <f>IF(A847="","",EXP(-Inputs!$C$7*A847))</f>
        <v/>
      </c>
      <c r="D847" s="22" t="str">
        <f t="shared" si="1"/>
        <v/>
      </c>
      <c r="E847" s="22" t="str">
        <f>IF(A847="","",Inputs!$C$6*D847)</f>
        <v/>
      </c>
    </row>
    <row r="848">
      <c r="A848" s="18" t="str">
        <f>'Cashflow Schedule'!B848</f>
        <v/>
      </c>
      <c r="B848" s="18" t="str">
        <f>'Cashflow Schedule'!E848</f>
        <v/>
      </c>
      <c r="C848" s="21" t="str">
        <f>IF(A848="","",EXP(-Inputs!$C$7*A848))</f>
        <v/>
      </c>
      <c r="D848" s="22" t="str">
        <f t="shared" si="1"/>
        <v/>
      </c>
      <c r="E848" s="22" t="str">
        <f>IF(A848="","",Inputs!$C$6*D848)</f>
        <v/>
      </c>
    </row>
    <row r="849">
      <c r="A849" s="18" t="str">
        <f>'Cashflow Schedule'!B849</f>
        <v/>
      </c>
      <c r="B849" s="18" t="str">
        <f>'Cashflow Schedule'!E849</f>
        <v/>
      </c>
      <c r="C849" s="21" t="str">
        <f>IF(A849="","",EXP(-Inputs!$C$7*A849))</f>
        <v/>
      </c>
      <c r="D849" s="22" t="str">
        <f t="shared" si="1"/>
        <v/>
      </c>
      <c r="E849" s="22" t="str">
        <f>IF(A849="","",Inputs!$C$6*D849)</f>
        <v/>
      </c>
    </row>
    <row r="850">
      <c r="A850" s="18" t="str">
        <f>'Cashflow Schedule'!B850</f>
        <v/>
      </c>
      <c r="B850" s="18" t="str">
        <f>'Cashflow Schedule'!E850</f>
        <v/>
      </c>
      <c r="C850" s="21" t="str">
        <f>IF(A850="","",EXP(-Inputs!$C$7*A850))</f>
        <v/>
      </c>
      <c r="D850" s="22" t="str">
        <f t="shared" si="1"/>
        <v/>
      </c>
      <c r="E850" s="22" t="str">
        <f>IF(A850="","",Inputs!$C$6*D850)</f>
        <v/>
      </c>
    </row>
    <row r="851">
      <c r="A851" s="18" t="str">
        <f>'Cashflow Schedule'!B851</f>
        <v/>
      </c>
      <c r="B851" s="18" t="str">
        <f>'Cashflow Schedule'!E851</f>
        <v/>
      </c>
      <c r="C851" s="21" t="str">
        <f>IF(A851="","",EXP(-Inputs!$C$7*A851))</f>
        <v/>
      </c>
      <c r="D851" s="22" t="str">
        <f t="shared" si="1"/>
        <v/>
      </c>
      <c r="E851" s="22" t="str">
        <f>IF(A851="","",Inputs!$C$6*D851)</f>
        <v/>
      </c>
    </row>
    <row r="852">
      <c r="A852" s="18" t="str">
        <f>'Cashflow Schedule'!B852</f>
        <v/>
      </c>
      <c r="B852" s="18" t="str">
        <f>'Cashflow Schedule'!E852</f>
        <v/>
      </c>
      <c r="C852" s="21" t="str">
        <f>IF(A852="","",EXP(-Inputs!$C$7*A852))</f>
        <v/>
      </c>
      <c r="D852" s="22" t="str">
        <f t="shared" si="1"/>
        <v/>
      </c>
      <c r="E852" s="22" t="str">
        <f>IF(A852="","",Inputs!$C$6*D852)</f>
        <v/>
      </c>
    </row>
    <row r="853">
      <c r="A853" s="18" t="str">
        <f>'Cashflow Schedule'!B853</f>
        <v/>
      </c>
      <c r="B853" s="18" t="str">
        <f>'Cashflow Schedule'!E853</f>
        <v/>
      </c>
      <c r="C853" s="21" t="str">
        <f>IF(A853="","",EXP(-Inputs!$C$7*A853))</f>
        <v/>
      </c>
      <c r="D853" s="22" t="str">
        <f t="shared" si="1"/>
        <v/>
      </c>
      <c r="E853" s="22" t="str">
        <f>IF(A853="","",Inputs!$C$6*D853)</f>
        <v/>
      </c>
    </row>
    <row r="854">
      <c r="A854" s="18" t="str">
        <f>'Cashflow Schedule'!B854</f>
        <v/>
      </c>
      <c r="B854" s="18" t="str">
        <f>'Cashflow Schedule'!E854</f>
        <v/>
      </c>
      <c r="C854" s="21" t="str">
        <f>IF(A854="","",EXP(-Inputs!$C$7*A854))</f>
        <v/>
      </c>
      <c r="D854" s="22" t="str">
        <f t="shared" si="1"/>
        <v/>
      </c>
      <c r="E854" s="22" t="str">
        <f>IF(A854="","",Inputs!$C$6*D854)</f>
        <v/>
      </c>
    </row>
    <row r="855">
      <c r="A855" s="18" t="str">
        <f>'Cashflow Schedule'!B855</f>
        <v/>
      </c>
      <c r="B855" s="18" t="str">
        <f>'Cashflow Schedule'!E855</f>
        <v/>
      </c>
      <c r="C855" s="21" t="str">
        <f>IF(A855="","",EXP(-Inputs!$C$7*A855))</f>
        <v/>
      </c>
      <c r="D855" s="22" t="str">
        <f t="shared" si="1"/>
        <v/>
      </c>
      <c r="E855" s="22" t="str">
        <f>IF(A855="","",Inputs!$C$6*D855)</f>
        <v/>
      </c>
    </row>
    <row r="856">
      <c r="A856" s="18" t="str">
        <f>'Cashflow Schedule'!B856</f>
        <v/>
      </c>
      <c r="B856" s="18" t="str">
        <f>'Cashflow Schedule'!E856</f>
        <v/>
      </c>
      <c r="C856" s="21" t="str">
        <f>IF(A856="","",EXP(-Inputs!$C$7*A856))</f>
        <v/>
      </c>
      <c r="D856" s="22" t="str">
        <f t="shared" si="1"/>
        <v/>
      </c>
      <c r="E856" s="22" t="str">
        <f>IF(A856="","",Inputs!$C$6*D856)</f>
        <v/>
      </c>
    </row>
    <row r="857">
      <c r="A857" s="18" t="str">
        <f>'Cashflow Schedule'!B857</f>
        <v/>
      </c>
      <c r="B857" s="18" t="str">
        <f>'Cashflow Schedule'!E857</f>
        <v/>
      </c>
      <c r="C857" s="21" t="str">
        <f>IF(A857="","",EXP(-Inputs!$C$7*A857))</f>
        <v/>
      </c>
      <c r="D857" s="22" t="str">
        <f t="shared" si="1"/>
        <v/>
      </c>
      <c r="E857" s="22" t="str">
        <f>IF(A857="","",Inputs!$C$6*D857)</f>
        <v/>
      </c>
    </row>
    <row r="858">
      <c r="A858" s="18" t="str">
        <f>'Cashflow Schedule'!B858</f>
        <v/>
      </c>
      <c r="B858" s="18" t="str">
        <f>'Cashflow Schedule'!E858</f>
        <v/>
      </c>
      <c r="C858" s="21" t="str">
        <f>IF(A858="","",EXP(-Inputs!$C$7*A858))</f>
        <v/>
      </c>
      <c r="D858" s="22" t="str">
        <f t="shared" si="1"/>
        <v/>
      </c>
      <c r="E858" s="22" t="str">
        <f>IF(A858="","",Inputs!$C$6*D858)</f>
        <v/>
      </c>
    </row>
    <row r="859">
      <c r="A859" s="18" t="str">
        <f>'Cashflow Schedule'!B859</f>
        <v/>
      </c>
      <c r="B859" s="18" t="str">
        <f>'Cashflow Schedule'!E859</f>
        <v/>
      </c>
      <c r="C859" s="21" t="str">
        <f>IF(A859="","",EXP(-Inputs!$C$7*A859))</f>
        <v/>
      </c>
      <c r="D859" s="22" t="str">
        <f t="shared" si="1"/>
        <v/>
      </c>
      <c r="E859" s="22" t="str">
        <f>IF(A859="","",Inputs!$C$6*D859)</f>
        <v/>
      </c>
    </row>
    <row r="860">
      <c r="A860" s="18" t="str">
        <f>'Cashflow Schedule'!B860</f>
        <v/>
      </c>
      <c r="B860" s="18" t="str">
        <f>'Cashflow Schedule'!E860</f>
        <v/>
      </c>
      <c r="C860" s="21" t="str">
        <f>IF(A860="","",EXP(-Inputs!$C$7*A860))</f>
        <v/>
      </c>
      <c r="D860" s="22" t="str">
        <f t="shared" si="1"/>
        <v/>
      </c>
      <c r="E860" s="22" t="str">
        <f>IF(A860="","",Inputs!$C$6*D860)</f>
        <v/>
      </c>
    </row>
    <row r="861">
      <c r="A861" s="18" t="str">
        <f>'Cashflow Schedule'!B861</f>
        <v/>
      </c>
      <c r="B861" s="18" t="str">
        <f>'Cashflow Schedule'!E861</f>
        <v/>
      </c>
      <c r="C861" s="21" t="str">
        <f>IF(A861="","",EXP(-Inputs!$C$7*A861))</f>
        <v/>
      </c>
      <c r="D861" s="22" t="str">
        <f t="shared" si="1"/>
        <v/>
      </c>
      <c r="E861" s="22" t="str">
        <f>IF(A861="","",Inputs!$C$6*D861)</f>
        <v/>
      </c>
    </row>
    <row r="862">
      <c r="A862" s="18" t="str">
        <f>'Cashflow Schedule'!B862</f>
        <v/>
      </c>
      <c r="B862" s="18" t="str">
        <f>'Cashflow Schedule'!E862</f>
        <v/>
      </c>
      <c r="C862" s="21" t="str">
        <f>IF(A862="","",EXP(-Inputs!$C$7*A862))</f>
        <v/>
      </c>
      <c r="D862" s="22" t="str">
        <f t="shared" si="1"/>
        <v/>
      </c>
      <c r="E862" s="22" t="str">
        <f>IF(A862="","",Inputs!$C$6*D862)</f>
        <v/>
      </c>
    </row>
    <row r="863">
      <c r="A863" s="18" t="str">
        <f>'Cashflow Schedule'!B863</f>
        <v/>
      </c>
      <c r="B863" s="18" t="str">
        <f>'Cashflow Schedule'!E863</f>
        <v/>
      </c>
      <c r="C863" s="21" t="str">
        <f>IF(A863="","",EXP(-Inputs!$C$7*A863))</f>
        <v/>
      </c>
      <c r="D863" s="22" t="str">
        <f t="shared" si="1"/>
        <v/>
      </c>
      <c r="E863" s="22" t="str">
        <f>IF(A863="","",Inputs!$C$6*D863)</f>
        <v/>
      </c>
    </row>
    <row r="864">
      <c r="A864" s="18" t="str">
        <f>'Cashflow Schedule'!B864</f>
        <v/>
      </c>
      <c r="B864" s="18" t="str">
        <f>'Cashflow Schedule'!E864</f>
        <v/>
      </c>
      <c r="C864" s="21" t="str">
        <f>IF(A864="","",EXP(-Inputs!$C$7*A864))</f>
        <v/>
      </c>
      <c r="D864" s="22" t="str">
        <f t="shared" si="1"/>
        <v/>
      </c>
      <c r="E864" s="22" t="str">
        <f>IF(A864="","",Inputs!$C$6*D864)</f>
        <v/>
      </c>
    </row>
    <row r="865">
      <c r="A865" s="18" t="str">
        <f>'Cashflow Schedule'!B865</f>
        <v/>
      </c>
      <c r="B865" s="18" t="str">
        <f>'Cashflow Schedule'!E865</f>
        <v/>
      </c>
      <c r="C865" s="21" t="str">
        <f>IF(A865="","",EXP(-Inputs!$C$7*A865))</f>
        <v/>
      </c>
      <c r="D865" s="22" t="str">
        <f t="shared" si="1"/>
        <v/>
      </c>
      <c r="E865" s="22" t="str">
        <f>IF(A865="","",Inputs!$C$6*D865)</f>
        <v/>
      </c>
    </row>
    <row r="866">
      <c r="A866" s="18" t="str">
        <f>'Cashflow Schedule'!B866</f>
        <v/>
      </c>
      <c r="B866" s="18" t="str">
        <f>'Cashflow Schedule'!E866</f>
        <v/>
      </c>
      <c r="C866" s="21" t="str">
        <f>IF(A866="","",EXP(-Inputs!$C$7*A866))</f>
        <v/>
      </c>
      <c r="D866" s="22" t="str">
        <f t="shared" si="1"/>
        <v/>
      </c>
      <c r="E866" s="22" t="str">
        <f>IF(A866="","",Inputs!$C$6*D866)</f>
        <v/>
      </c>
    </row>
    <row r="867">
      <c r="A867" s="18" t="str">
        <f>'Cashflow Schedule'!B867</f>
        <v/>
      </c>
      <c r="B867" s="18" t="str">
        <f>'Cashflow Schedule'!E867</f>
        <v/>
      </c>
      <c r="C867" s="21" t="str">
        <f>IF(A867="","",EXP(-Inputs!$C$7*A867))</f>
        <v/>
      </c>
      <c r="D867" s="22" t="str">
        <f t="shared" si="1"/>
        <v/>
      </c>
      <c r="E867" s="22" t="str">
        <f>IF(A867="","",Inputs!$C$6*D867)</f>
        <v/>
      </c>
    </row>
    <row r="868">
      <c r="A868" s="18" t="str">
        <f>'Cashflow Schedule'!B868</f>
        <v/>
      </c>
      <c r="B868" s="18" t="str">
        <f>'Cashflow Schedule'!E868</f>
        <v/>
      </c>
      <c r="C868" s="21" t="str">
        <f>IF(A868="","",EXP(-Inputs!$C$7*A868))</f>
        <v/>
      </c>
      <c r="D868" s="22" t="str">
        <f t="shared" si="1"/>
        <v/>
      </c>
      <c r="E868" s="22" t="str">
        <f>IF(A868="","",Inputs!$C$6*D868)</f>
        <v/>
      </c>
    </row>
    <row r="869">
      <c r="A869" s="18" t="str">
        <f>'Cashflow Schedule'!B869</f>
        <v/>
      </c>
      <c r="B869" s="18" t="str">
        <f>'Cashflow Schedule'!E869</f>
        <v/>
      </c>
      <c r="C869" s="21" t="str">
        <f>IF(A869="","",EXP(-Inputs!$C$7*A869))</f>
        <v/>
      </c>
      <c r="D869" s="22" t="str">
        <f t="shared" si="1"/>
        <v/>
      </c>
      <c r="E869" s="22" t="str">
        <f>IF(A869="","",Inputs!$C$6*D869)</f>
        <v/>
      </c>
    </row>
    <row r="870">
      <c r="A870" s="18" t="str">
        <f>'Cashflow Schedule'!B870</f>
        <v/>
      </c>
      <c r="B870" s="18" t="str">
        <f>'Cashflow Schedule'!E870</f>
        <v/>
      </c>
      <c r="C870" s="21" t="str">
        <f>IF(A870="","",EXP(-Inputs!$C$7*A870))</f>
        <v/>
      </c>
      <c r="D870" s="22" t="str">
        <f t="shared" si="1"/>
        <v/>
      </c>
      <c r="E870" s="22" t="str">
        <f>IF(A870="","",Inputs!$C$6*D870)</f>
        <v/>
      </c>
    </row>
    <row r="871">
      <c r="A871" s="18" t="str">
        <f>'Cashflow Schedule'!B871</f>
        <v/>
      </c>
      <c r="B871" s="18" t="str">
        <f>'Cashflow Schedule'!E871</f>
        <v/>
      </c>
      <c r="C871" s="21" t="str">
        <f>IF(A871="","",EXP(-Inputs!$C$7*A871))</f>
        <v/>
      </c>
      <c r="D871" s="22" t="str">
        <f t="shared" si="1"/>
        <v/>
      </c>
      <c r="E871" s="22" t="str">
        <f>IF(A871="","",Inputs!$C$6*D871)</f>
        <v/>
      </c>
    </row>
    <row r="872">
      <c r="A872" s="18" t="str">
        <f>'Cashflow Schedule'!B872</f>
        <v/>
      </c>
      <c r="B872" s="18" t="str">
        <f>'Cashflow Schedule'!E872</f>
        <v/>
      </c>
      <c r="C872" s="21" t="str">
        <f>IF(A872="","",EXP(-Inputs!$C$7*A872))</f>
        <v/>
      </c>
      <c r="D872" s="22" t="str">
        <f t="shared" si="1"/>
        <v/>
      </c>
      <c r="E872" s="22" t="str">
        <f>IF(A872="","",Inputs!$C$6*D872)</f>
        <v/>
      </c>
    </row>
    <row r="873">
      <c r="A873" s="18" t="str">
        <f>'Cashflow Schedule'!B873</f>
        <v/>
      </c>
      <c r="B873" s="18" t="str">
        <f>'Cashflow Schedule'!E873</f>
        <v/>
      </c>
      <c r="C873" s="21" t="str">
        <f>IF(A873="","",EXP(-Inputs!$C$7*A873))</f>
        <v/>
      </c>
      <c r="D873" s="22" t="str">
        <f t="shared" si="1"/>
        <v/>
      </c>
      <c r="E873" s="22" t="str">
        <f>IF(A873="","",Inputs!$C$6*D873)</f>
        <v/>
      </c>
    </row>
    <row r="874">
      <c r="A874" s="18" t="str">
        <f>'Cashflow Schedule'!B874</f>
        <v/>
      </c>
      <c r="B874" s="18" t="str">
        <f>'Cashflow Schedule'!E874</f>
        <v/>
      </c>
      <c r="C874" s="21" t="str">
        <f>IF(A874="","",EXP(-Inputs!$C$7*A874))</f>
        <v/>
      </c>
      <c r="D874" s="22" t="str">
        <f t="shared" si="1"/>
        <v/>
      </c>
      <c r="E874" s="22" t="str">
        <f>IF(A874="","",Inputs!$C$6*D874)</f>
        <v/>
      </c>
    </row>
    <row r="875">
      <c r="A875" s="18" t="str">
        <f>'Cashflow Schedule'!B875</f>
        <v/>
      </c>
      <c r="B875" s="18" t="str">
        <f>'Cashflow Schedule'!E875</f>
        <v/>
      </c>
      <c r="C875" s="21" t="str">
        <f>IF(A875="","",EXP(-Inputs!$C$7*A875))</f>
        <v/>
      </c>
      <c r="D875" s="22" t="str">
        <f t="shared" si="1"/>
        <v/>
      </c>
      <c r="E875" s="22" t="str">
        <f>IF(A875="","",Inputs!$C$6*D875)</f>
        <v/>
      </c>
    </row>
    <row r="876">
      <c r="A876" s="18" t="str">
        <f>'Cashflow Schedule'!B876</f>
        <v/>
      </c>
      <c r="B876" s="18" t="str">
        <f>'Cashflow Schedule'!E876</f>
        <v/>
      </c>
      <c r="C876" s="21" t="str">
        <f>IF(A876="","",EXP(-Inputs!$C$7*A876))</f>
        <v/>
      </c>
      <c r="D876" s="22" t="str">
        <f t="shared" si="1"/>
        <v/>
      </c>
      <c r="E876" s="22" t="str">
        <f>IF(A876="","",Inputs!$C$6*D876)</f>
        <v/>
      </c>
    </row>
    <row r="877">
      <c r="A877" s="18" t="str">
        <f>'Cashflow Schedule'!B877</f>
        <v/>
      </c>
      <c r="B877" s="18" t="str">
        <f>'Cashflow Schedule'!E877</f>
        <v/>
      </c>
      <c r="C877" s="21" t="str">
        <f>IF(A877="","",EXP(-Inputs!$C$7*A877))</f>
        <v/>
      </c>
      <c r="D877" s="22" t="str">
        <f t="shared" si="1"/>
        <v/>
      </c>
      <c r="E877" s="22" t="str">
        <f>IF(A877="","",Inputs!$C$6*D877)</f>
        <v/>
      </c>
    </row>
    <row r="878">
      <c r="A878" s="18" t="str">
        <f>'Cashflow Schedule'!B878</f>
        <v/>
      </c>
      <c r="B878" s="18" t="str">
        <f>'Cashflow Schedule'!E878</f>
        <v/>
      </c>
      <c r="C878" s="21" t="str">
        <f>IF(A878="","",EXP(-Inputs!$C$7*A878))</f>
        <v/>
      </c>
      <c r="D878" s="22" t="str">
        <f t="shared" si="1"/>
        <v/>
      </c>
      <c r="E878" s="22" t="str">
        <f>IF(A878="","",Inputs!$C$6*D878)</f>
        <v/>
      </c>
    </row>
    <row r="879">
      <c r="A879" s="18" t="str">
        <f>'Cashflow Schedule'!B879</f>
        <v/>
      </c>
      <c r="B879" s="18" t="str">
        <f>'Cashflow Schedule'!E879</f>
        <v/>
      </c>
      <c r="C879" s="21" t="str">
        <f>IF(A879="","",EXP(-Inputs!$C$7*A879))</f>
        <v/>
      </c>
      <c r="D879" s="22" t="str">
        <f t="shared" si="1"/>
        <v/>
      </c>
      <c r="E879" s="22" t="str">
        <f>IF(A879="","",Inputs!$C$6*D879)</f>
        <v/>
      </c>
    </row>
    <row r="880">
      <c r="A880" s="18" t="str">
        <f>'Cashflow Schedule'!B880</f>
        <v/>
      </c>
      <c r="B880" s="18" t="str">
        <f>'Cashflow Schedule'!E880</f>
        <v/>
      </c>
      <c r="C880" s="21" t="str">
        <f>IF(A880="","",EXP(-Inputs!$C$7*A880))</f>
        <v/>
      </c>
      <c r="D880" s="22" t="str">
        <f t="shared" si="1"/>
        <v/>
      </c>
      <c r="E880" s="22" t="str">
        <f>IF(A880="","",Inputs!$C$6*D880)</f>
        <v/>
      </c>
    </row>
    <row r="881">
      <c r="A881" s="18" t="str">
        <f>'Cashflow Schedule'!B881</f>
        <v/>
      </c>
      <c r="B881" s="18" t="str">
        <f>'Cashflow Schedule'!E881</f>
        <v/>
      </c>
      <c r="C881" s="21" t="str">
        <f>IF(A881="","",EXP(-Inputs!$C$7*A881))</f>
        <v/>
      </c>
      <c r="D881" s="22" t="str">
        <f t="shared" si="1"/>
        <v/>
      </c>
      <c r="E881" s="22" t="str">
        <f>IF(A881="","",Inputs!$C$6*D881)</f>
        <v/>
      </c>
    </row>
    <row r="882">
      <c r="A882" s="18" t="str">
        <f>'Cashflow Schedule'!B882</f>
        <v/>
      </c>
      <c r="B882" s="18" t="str">
        <f>'Cashflow Schedule'!E882</f>
        <v/>
      </c>
      <c r="C882" s="21" t="str">
        <f>IF(A882="","",EXP(-Inputs!$C$7*A882))</f>
        <v/>
      </c>
      <c r="D882" s="22" t="str">
        <f t="shared" si="1"/>
        <v/>
      </c>
      <c r="E882" s="22" t="str">
        <f>IF(A882="","",Inputs!$C$6*D882)</f>
        <v/>
      </c>
    </row>
    <row r="883">
      <c r="A883" s="18" t="str">
        <f>'Cashflow Schedule'!B883</f>
        <v/>
      </c>
      <c r="B883" s="18" t="str">
        <f>'Cashflow Schedule'!E883</f>
        <v/>
      </c>
      <c r="C883" s="21" t="str">
        <f>IF(A883="","",EXP(-Inputs!$C$7*A883))</f>
        <v/>
      </c>
      <c r="D883" s="22" t="str">
        <f t="shared" si="1"/>
        <v/>
      </c>
      <c r="E883" s="22" t="str">
        <f>IF(A883="","",Inputs!$C$6*D883)</f>
        <v/>
      </c>
    </row>
    <row r="884">
      <c r="A884" s="18" t="str">
        <f>'Cashflow Schedule'!B884</f>
        <v/>
      </c>
      <c r="B884" s="18" t="str">
        <f>'Cashflow Schedule'!E884</f>
        <v/>
      </c>
      <c r="C884" s="21" t="str">
        <f>IF(A884="","",EXP(-Inputs!$C$7*A884))</f>
        <v/>
      </c>
      <c r="D884" s="22" t="str">
        <f t="shared" si="1"/>
        <v/>
      </c>
      <c r="E884" s="22" t="str">
        <f>IF(A884="","",Inputs!$C$6*D884)</f>
        <v/>
      </c>
    </row>
    <row r="885">
      <c r="A885" s="18" t="str">
        <f>'Cashflow Schedule'!B885</f>
        <v/>
      </c>
      <c r="B885" s="18" t="str">
        <f>'Cashflow Schedule'!E885</f>
        <v/>
      </c>
      <c r="C885" s="21" t="str">
        <f>IF(A885="","",EXP(-Inputs!$C$7*A885))</f>
        <v/>
      </c>
      <c r="D885" s="22" t="str">
        <f t="shared" si="1"/>
        <v/>
      </c>
      <c r="E885" s="22" t="str">
        <f>IF(A885="","",Inputs!$C$6*D885)</f>
        <v/>
      </c>
    </row>
    <row r="886">
      <c r="A886" s="18" t="str">
        <f>'Cashflow Schedule'!B886</f>
        <v/>
      </c>
      <c r="B886" s="18" t="str">
        <f>'Cashflow Schedule'!E886</f>
        <v/>
      </c>
      <c r="C886" s="21" t="str">
        <f>IF(A886="","",EXP(-Inputs!$C$7*A886))</f>
        <v/>
      </c>
      <c r="D886" s="22" t="str">
        <f t="shared" si="1"/>
        <v/>
      </c>
      <c r="E886" s="22" t="str">
        <f>IF(A886="","",Inputs!$C$6*D886)</f>
        <v/>
      </c>
    </row>
    <row r="887">
      <c r="A887" s="18" t="str">
        <f>'Cashflow Schedule'!B887</f>
        <v/>
      </c>
      <c r="B887" s="18" t="str">
        <f>'Cashflow Schedule'!E887</f>
        <v/>
      </c>
      <c r="C887" s="21" t="str">
        <f>IF(A887="","",EXP(-Inputs!$C$7*A887))</f>
        <v/>
      </c>
      <c r="D887" s="22" t="str">
        <f t="shared" si="1"/>
        <v/>
      </c>
      <c r="E887" s="22" t="str">
        <f>IF(A887="","",Inputs!$C$6*D887)</f>
        <v/>
      </c>
    </row>
    <row r="888">
      <c r="A888" s="18" t="str">
        <f>'Cashflow Schedule'!B888</f>
        <v/>
      </c>
      <c r="B888" s="18" t="str">
        <f>'Cashflow Schedule'!E888</f>
        <v/>
      </c>
      <c r="C888" s="21" t="str">
        <f>IF(A888="","",EXP(-Inputs!$C$7*A888))</f>
        <v/>
      </c>
      <c r="D888" s="22" t="str">
        <f t="shared" si="1"/>
        <v/>
      </c>
      <c r="E888" s="22" t="str">
        <f>IF(A888="","",Inputs!$C$6*D888)</f>
        <v/>
      </c>
    </row>
    <row r="889">
      <c r="A889" s="18" t="str">
        <f>'Cashflow Schedule'!B889</f>
        <v/>
      </c>
      <c r="B889" s="18" t="str">
        <f>'Cashflow Schedule'!E889</f>
        <v/>
      </c>
      <c r="C889" s="21" t="str">
        <f>IF(A889="","",EXP(-Inputs!$C$7*A889))</f>
        <v/>
      </c>
      <c r="D889" s="22" t="str">
        <f t="shared" si="1"/>
        <v/>
      </c>
      <c r="E889" s="22" t="str">
        <f>IF(A889="","",Inputs!$C$6*D889)</f>
        <v/>
      </c>
    </row>
    <row r="890">
      <c r="A890" s="18" t="str">
        <f>'Cashflow Schedule'!B890</f>
        <v/>
      </c>
      <c r="B890" s="18" t="str">
        <f>'Cashflow Schedule'!E890</f>
        <v/>
      </c>
      <c r="C890" s="21" t="str">
        <f>IF(A890="","",EXP(-Inputs!$C$7*A890))</f>
        <v/>
      </c>
      <c r="D890" s="22" t="str">
        <f t="shared" si="1"/>
        <v/>
      </c>
      <c r="E890" s="22" t="str">
        <f>IF(A890="","",Inputs!$C$6*D890)</f>
        <v/>
      </c>
    </row>
    <row r="891">
      <c r="A891" s="18" t="str">
        <f>'Cashflow Schedule'!B891</f>
        <v/>
      </c>
      <c r="B891" s="18" t="str">
        <f>'Cashflow Schedule'!E891</f>
        <v/>
      </c>
      <c r="C891" s="21" t="str">
        <f>IF(A891="","",EXP(-Inputs!$C$7*A891))</f>
        <v/>
      </c>
      <c r="D891" s="22" t="str">
        <f t="shared" si="1"/>
        <v/>
      </c>
      <c r="E891" s="22" t="str">
        <f>IF(A891="","",Inputs!$C$6*D891)</f>
        <v/>
      </c>
    </row>
    <row r="892">
      <c r="A892" s="18" t="str">
        <f>'Cashflow Schedule'!B892</f>
        <v/>
      </c>
      <c r="B892" s="18" t="str">
        <f>'Cashflow Schedule'!E892</f>
        <v/>
      </c>
      <c r="C892" s="21" t="str">
        <f>IF(A892="","",EXP(-Inputs!$C$7*A892))</f>
        <v/>
      </c>
      <c r="D892" s="22" t="str">
        <f t="shared" si="1"/>
        <v/>
      </c>
      <c r="E892" s="22" t="str">
        <f>IF(A892="","",Inputs!$C$6*D892)</f>
        <v/>
      </c>
    </row>
    <row r="893">
      <c r="A893" s="18" t="str">
        <f>'Cashflow Schedule'!B893</f>
        <v/>
      </c>
      <c r="B893" s="18" t="str">
        <f>'Cashflow Schedule'!E893</f>
        <v/>
      </c>
      <c r="C893" s="21" t="str">
        <f>IF(A893="","",EXP(-Inputs!$C$7*A893))</f>
        <v/>
      </c>
      <c r="D893" s="22" t="str">
        <f t="shared" si="1"/>
        <v/>
      </c>
      <c r="E893" s="22" t="str">
        <f>IF(A893="","",Inputs!$C$6*D893)</f>
        <v/>
      </c>
    </row>
    <row r="894">
      <c r="A894" s="18" t="str">
        <f>'Cashflow Schedule'!B894</f>
        <v/>
      </c>
      <c r="B894" s="18" t="str">
        <f>'Cashflow Schedule'!E894</f>
        <v/>
      </c>
      <c r="C894" s="21" t="str">
        <f>IF(A894="","",EXP(-Inputs!$C$7*A894))</f>
        <v/>
      </c>
      <c r="D894" s="22" t="str">
        <f t="shared" si="1"/>
        <v/>
      </c>
      <c r="E894" s="22" t="str">
        <f>IF(A894="","",Inputs!$C$6*D894)</f>
        <v/>
      </c>
    </row>
    <row r="895">
      <c r="A895" s="18" t="str">
        <f>'Cashflow Schedule'!B895</f>
        <v/>
      </c>
      <c r="B895" s="18" t="str">
        <f>'Cashflow Schedule'!E895</f>
        <v/>
      </c>
      <c r="C895" s="21" t="str">
        <f>IF(A895="","",EXP(-Inputs!$C$7*A895))</f>
        <v/>
      </c>
      <c r="D895" s="22" t="str">
        <f t="shared" si="1"/>
        <v/>
      </c>
      <c r="E895" s="22" t="str">
        <f>IF(A895="","",Inputs!$C$6*D895)</f>
        <v/>
      </c>
    </row>
    <row r="896">
      <c r="A896" s="18" t="str">
        <f>'Cashflow Schedule'!B896</f>
        <v/>
      </c>
      <c r="B896" s="18" t="str">
        <f>'Cashflow Schedule'!E896</f>
        <v/>
      </c>
      <c r="C896" s="21" t="str">
        <f>IF(A896="","",EXP(-Inputs!$C$7*A896))</f>
        <v/>
      </c>
      <c r="D896" s="22" t="str">
        <f t="shared" si="1"/>
        <v/>
      </c>
      <c r="E896" s="22" t="str">
        <f>IF(A896="","",Inputs!$C$6*D896)</f>
        <v/>
      </c>
    </row>
    <row r="897">
      <c r="A897" s="18" t="str">
        <f>'Cashflow Schedule'!B897</f>
        <v/>
      </c>
      <c r="B897" s="18" t="str">
        <f>'Cashflow Schedule'!E897</f>
        <v/>
      </c>
      <c r="C897" s="21" t="str">
        <f>IF(A897="","",EXP(-Inputs!$C$7*A897))</f>
        <v/>
      </c>
      <c r="D897" s="22" t="str">
        <f t="shared" si="1"/>
        <v/>
      </c>
      <c r="E897" s="22" t="str">
        <f>IF(A897="","",Inputs!$C$6*D897)</f>
        <v/>
      </c>
    </row>
    <row r="898">
      <c r="A898" s="18" t="str">
        <f>'Cashflow Schedule'!B898</f>
        <v/>
      </c>
      <c r="B898" s="18" t="str">
        <f>'Cashflow Schedule'!E898</f>
        <v/>
      </c>
      <c r="C898" s="21" t="str">
        <f>IF(A898="","",EXP(-Inputs!$C$7*A898))</f>
        <v/>
      </c>
      <c r="D898" s="22" t="str">
        <f t="shared" si="1"/>
        <v/>
      </c>
      <c r="E898" s="22" t="str">
        <f>IF(A898="","",Inputs!$C$6*D898)</f>
        <v/>
      </c>
    </row>
    <row r="899">
      <c r="A899" s="18" t="str">
        <f>'Cashflow Schedule'!B899</f>
        <v/>
      </c>
      <c r="B899" s="18" t="str">
        <f>'Cashflow Schedule'!E899</f>
        <v/>
      </c>
      <c r="C899" s="21" t="str">
        <f>IF(A899="","",EXP(-Inputs!$C$7*A899))</f>
        <v/>
      </c>
      <c r="D899" s="22" t="str">
        <f t="shared" si="1"/>
        <v/>
      </c>
      <c r="E899" s="22" t="str">
        <f>IF(A899="","",Inputs!$C$6*D899)</f>
        <v/>
      </c>
    </row>
    <row r="900">
      <c r="A900" s="18" t="str">
        <f>'Cashflow Schedule'!B900</f>
        <v/>
      </c>
      <c r="B900" s="18" t="str">
        <f>'Cashflow Schedule'!E900</f>
        <v/>
      </c>
      <c r="C900" s="21" t="str">
        <f>IF(A900="","",EXP(-Inputs!$C$7*A900))</f>
        <v/>
      </c>
      <c r="D900" s="22" t="str">
        <f t="shared" si="1"/>
        <v/>
      </c>
      <c r="E900" s="22" t="str">
        <f>IF(A900="","",Inputs!$C$6*D900)</f>
        <v/>
      </c>
    </row>
    <row r="901">
      <c r="A901" s="18" t="str">
        <f>'Cashflow Schedule'!B901</f>
        <v/>
      </c>
      <c r="B901" s="18" t="str">
        <f>'Cashflow Schedule'!E901</f>
        <v/>
      </c>
      <c r="C901" s="21" t="str">
        <f>IF(A901="","",EXP(-Inputs!$C$7*A901))</f>
        <v/>
      </c>
      <c r="D901" s="22" t="str">
        <f t="shared" si="1"/>
        <v/>
      </c>
      <c r="E901" s="22" t="str">
        <f>IF(A901="","",Inputs!$C$6*D901)</f>
        <v/>
      </c>
    </row>
    <row r="902">
      <c r="A902" s="18" t="str">
        <f>'Cashflow Schedule'!B902</f>
        <v/>
      </c>
      <c r="B902" s="18" t="str">
        <f>'Cashflow Schedule'!E902</f>
        <v/>
      </c>
      <c r="C902" s="21" t="str">
        <f>IF(A902="","",EXP(-Inputs!$C$7*A902))</f>
        <v/>
      </c>
      <c r="D902" s="22" t="str">
        <f t="shared" si="1"/>
        <v/>
      </c>
      <c r="E902" s="22" t="str">
        <f>IF(A902="","",Inputs!$C$6*D902)</f>
        <v/>
      </c>
    </row>
    <row r="903">
      <c r="A903" s="18" t="str">
        <f>'Cashflow Schedule'!B903</f>
        <v/>
      </c>
      <c r="B903" s="18" t="str">
        <f>'Cashflow Schedule'!E903</f>
        <v/>
      </c>
      <c r="C903" s="21" t="str">
        <f>IF(A903="","",EXP(-Inputs!$C$7*A903))</f>
        <v/>
      </c>
      <c r="D903" s="22" t="str">
        <f t="shared" si="1"/>
        <v/>
      </c>
      <c r="E903" s="22" t="str">
        <f>IF(A903="","",Inputs!$C$6*D903)</f>
        <v/>
      </c>
    </row>
    <row r="904">
      <c r="A904" s="18" t="str">
        <f>'Cashflow Schedule'!B904</f>
        <v/>
      </c>
      <c r="B904" s="18" t="str">
        <f>'Cashflow Schedule'!E904</f>
        <v/>
      </c>
      <c r="C904" s="21" t="str">
        <f>IF(A904="","",EXP(-Inputs!$C$7*A904))</f>
        <v/>
      </c>
      <c r="D904" s="22" t="str">
        <f t="shared" si="1"/>
        <v/>
      </c>
      <c r="E904" s="22" t="str">
        <f>IF(A904="","",Inputs!$C$6*D904)</f>
        <v/>
      </c>
    </row>
    <row r="905">
      <c r="A905" s="18" t="str">
        <f>'Cashflow Schedule'!B905</f>
        <v/>
      </c>
      <c r="B905" s="18" t="str">
        <f>'Cashflow Schedule'!E905</f>
        <v/>
      </c>
      <c r="C905" s="21" t="str">
        <f>IF(A905="","",EXP(-Inputs!$C$7*A905))</f>
        <v/>
      </c>
      <c r="D905" s="22" t="str">
        <f t="shared" si="1"/>
        <v/>
      </c>
      <c r="E905" s="22" t="str">
        <f>IF(A905="","",Inputs!$C$6*D905)</f>
        <v/>
      </c>
    </row>
    <row r="906">
      <c r="A906" s="18" t="str">
        <f>'Cashflow Schedule'!B906</f>
        <v/>
      </c>
      <c r="B906" s="18" t="str">
        <f>'Cashflow Schedule'!E906</f>
        <v/>
      </c>
      <c r="C906" s="21" t="str">
        <f>IF(A906="","",EXP(-Inputs!$C$7*A906))</f>
        <v/>
      </c>
      <c r="D906" s="22" t="str">
        <f t="shared" si="1"/>
        <v/>
      </c>
      <c r="E906" s="22" t="str">
        <f>IF(A906="","",Inputs!$C$6*D906)</f>
        <v/>
      </c>
    </row>
    <row r="907">
      <c r="A907" s="18" t="str">
        <f>'Cashflow Schedule'!B907</f>
        <v/>
      </c>
      <c r="B907" s="18" t="str">
        <f>'Cashflow Schedule'!E907</f>
        <v/>
      </c>
      <c r="C907" s="21" t="str">
        <f>IF(A907="","",EXP(-Inputs!$C$7*A907))</f>
        <v/>
      </c>
      <c r="D907" s="22" t="str">
        <f t="shared" si="1"/>
        <v/>
      </c>
      <c r="E907" s="22" t="str">
        <f>IF(A907="","",Inputs!$C$6*D907)</f>
        <v/>
      </c>
    </row>
    <row r="908">
      <c r="A908" s="18" t="str">
        <f>'Cashflow Schedule'!B908</f>
        <v/>
      </c>
      <c r="B908" s="18" t="str">
        <f>'Cashflow Schedule'!E908</f>
        <v/>
      </c>
      <c r="C908" s="21" t="str">
        <f>IF(A908="","",EXP(-Inputs!$C$7*A908))</f>
        <v/>
      </c>
      <c r="D908" s="22" t="str">
        <f t="shared" si="1"/>
        <v/>
      </c>
      <c r="E908" s="22" t="str">
        <f>IF(A908="","",Inputs!$C$6*D908)</f>
        <v/>
      </c>
    </row>
    <row r="909">
      <c r="A909" s="18" t="str">
        <f>'Cashflow Schedule'!B909</f>
        <v/>
      </c>
      <c r="B909" s="18" t="str">
        <f>'Cashflow Schedule'!E909</f>
        <v/>
      </c>
      <c r="C909" s="21" t="str">
        <f>IF(A909="","",EXP(-Inputs!$C$7*A909))</f>
        <v/>
      </c>
      <c r="D909" s="22" t="str">
        <f t="shared" si="1"/>
        <v/>
      </c>
      <c r="E909" s="22" t="str">
        <f>IF(A909="","",Inputs!$C$6*D909)</f>
        <v/>
      </c>
    </row>
    <row r="910">
      <c r="A910" s="18" t="str">
        <f>'Cashflow Schedule'!B910</f>
        <v/>
      </c>
      <c r="B910" s="18" t="str">
        <f>'Cashflow Schedule'!E910</f>
        <v/>
      </c>
      <c r="C910" s="21" t="str">
        <f>IF(A910="","",EXP(-Inputs!$C$7*A910))</f>
        <v/>
      </c>
      <c r="D910" s="22" t="str">
        <f t="shared" si="1"/>
        <v/>
      </c>
      <c r="E910" s="22" t="str">
        <f>IF(A910="","",Inputs!$C$6*D910)</f>
        <v/>
      </c>
    </row>
    <row r="911">
      <c r="A911" s="18" t="str">
        <f>'Cashflow Schedule'!B911</f>
        <v/>
      </c>
      <c r="B911" s="18" t="str">
        <f>'Cashflow Schedule'!E911</f>
        <v/>
      </c>
      <c r="C911" s="21" t="str">
        <f>IF(A911="","",EXP(-Inputs!$C$7*A911))</f>
        <v/>
      </c>
      <c r="D911" s="22" t="str">
        <f t="shared" si="1"/>
        <v/>
      </c>
      <c r="E911" s="22" t="str">
        <f>IF(A911="","",Inputs!$C$6*D911)</f>
        <v/>
      </c>
    </row>
    <row r="912">
      <c r="A912" s="18" t="str">
        <f>'Cashflow Schedule'!B912</f>
        <v/>
      </c>
      <c r="B912" s="18" t="str">
        <f>'Cashflow Schedule'!E912</f>
        <v/>
      </c>
      <c r="C912" s="21" t="str">
        <f>IF(A912="","",EXP(-Inputs!$C$7*A912))</f>
        <v/>
      </c>
      <c r="D912" s="22" t="str">
        <f t="shared" si="1"/>
        <v/>
      </c>
      <c r="E912" s="22" t="str">
        <f>IF(A912="","",Inputs!$C$6*D912)</f>
        <v/>
      </c>
    </row>
    <row r="913">
      <c r="A913" s="18" t="str">
        <f>'Cashflow Schedule'!B913</f>
        <v/>
      </c>
      <c r="B913" s="18" t="str">
        <f>'Cashflow Schedule'!E913</f>
        <v/>
      </c>
      <c r="C913" s="21" t="str">
        <f>IF(A913="","",EXP(-Inputs!$C$7*A913))</f>
        <v/>
      </c>
      <c r="D913" s="22" t="str">
        <f t="shared" si="1"/>
        <v/>
      </c>
      <c r="E913" s="22" t="str">
        <f>IF(A913="","",Inputs!$C$6*D913)</f>
        <v/>
      </c>
    </row>
    <row r="914">
      <c r="A914" s="18" t="str">
        <f>'Cashflow Schedule'!B914</f>
        <v/>
      </c>
      <c r="B914" s="18" t="str">
        <f>'Cashflow Schedule'!E914</f>
        <v/>
      </c>
      <c r="C914" s="21" t="str">
        <f>IF(A914="","",EXP(-Inputs!$C$7*A914))</f>
        <v/>
      </c>
      <c r="D914" s="22" t="str">
        <f t="shared" si="1"/>
        <v/>
      </c>
      <c r="E914" s="22" t="str">
        <f>IF(A914="","",Inputs!$C$6*D914)</f>
        <v/>
      </c>
    </row>
    <row r="915">
      <c r="A915" s="18" t="str">
        <f>'Cashflow Schedule'!B915</f>
        <v/>
      </c>
      <c r="B915" s="18" t="str">
        <f>'Cashflow Schedule'!E915</f>
        <v/>
      </c>
      <c r="C915" s="21" t="str">
        <f>IF(A915="","",EXP(-Inputs!$C$7*A915))</f>
        <v/>
      </c>
      <c r="D915" s="22" t="str">
        <f t="shared" si="1"/>
        <v/>
      </c>
      <c r="E915" s="22" t="str">
        <f>IF(A915="","",Inputs!$C$6*D915)</f>
        <v/>
      </c>
    </row>
    <row r="916">
      <c r="A916" s="18" t="str">
        <f>'Cashflow Schedule'!B916</f>
        <v/>
      </c>
      <c r="B916" s="18" t="str">
        <f>'Cashflow Schedule'!E916</f>
        <v/>
      </c>
      <c r="C916" s="21" t="str">
        <f>IF(A916="","",EXP(-Inputs!$C$7*A916))</f>
        <v/>
      </c>
      <c r="D916" s="22" t="str">
        <f t="shared" si="1"/>
        <v/>
      </c>
      <c r="E916" s="22" t="str">
        <f>IF(A916="","",Inputs!$C$6*D916)</f>
        <v/>
      </c>
    </row>
    <row r="917">
      <c r="A917" s="18" t="str">
        <f>'Cashflow Schedule'!B917</f>
        <v/>
      </c>
      <c r="B917" s="18" t="str">
        <f>'Cashflow Schedule'!E917</f>
        <v/>
      </c>
      <c r="C917" s="21" t="str">
        <f>IF(A917="","",EXP(-Inputs!$C$7*A917))</f>
        <v/>
      </c>
      <c r="D917" s="22" t="str">
        <f t="shared" si="1"/>
        <v/>
      </c>
      <c r="E917" s="22" t="str">
        <f>IF(A917="","",Inputs!$C$6*D917)</f>
        <v/>
      </c>
    </row>
    <row r="918">
      <c r="A918" s="18" t="str">
        <f>'Cashflow Schedule'!B918</f>
        <v/>
      </c>
      <c r="B918" s="18" t="str">
        <f>'Cashflow Schedule'!E918</f>
        <v/>
      </c>
      <c r="C918" s="21" t="str">
        <f>IF(A918="","",EXP(-Inputs!$C$7*A918))</f>
        <v/>
      </c>
      <c r="D918" s="22" t="str">
        <f t="shared" si="1"/>
        <v/>
      </c>
      <c r="E918" s="22" t="str">
        <f>IF(A918="","",Inputs!$C$6*D918)</f>
        <v/>
      </c>
    </row>
    <row r="919">
      <c r="A919" s="18" t="str">
        <f>'Cashflow Schedule'!B919</f>
        <v/>
      </c>
      <c r="B919" s="18" t="str">
        <f>'Cashflow Schedule'!E919</f>
        <v/>
      </c>
      <c r="C919" s="21" t="str">
        <f>IF(A919="","",EXP(-Inputs!$C$7*A919))</f>
        <v/>
      </c>
      <c r="D919" s="22" t="str">
        <f t="shared" si="1"/>
        <v/>
      </c>
      <c r="E919" s="22" t="str">
        <f>IF(A919="","",Inputs!$C$6*D919)</f>
        <v/>
      </c>
    </row>
    <row r="920">
      <c r="A920" s="18" t="str">
        <f>'Cashflow Schedule'!B920</f>
        <v/>
      </c>
      <c r="B920" s="18" t="str">
        <f>'Cashflow Schedule'!E920</f>
        <v/>
      </c>
      <c r="C920" s="21" t="str">
        <f>IF(A920="","",EXP(-Inputs!$C$7*A920))</f>
        <v/>
      </c>
      <c r="D920" s="22" t="str">
        <f t="shared" si="1"/>
        <v/>
      </c>
      <c r="E920" s="22" t="str">
        <f>IF(A920="","",Inputs!$C$6*D920)</f>
        <v/>
      </c>
    </row>
    <row r="921">
      <c r="A921" s="18" t="str">
        <f>'Cashflow Schedule'!B921</f>
        <v/>
      </c>
      <c r="B921" s="18" t="str">
        <f>'Cashflow Schedule'!E921</f>
        <v/>
      </c>
      <c r="C921" s="21" t="str">
        <f>IF(A921="","",EXP(-Inputs!$C$7*A921))</f>
        <v/>
      </c>
      <c r="D921" s="22" t="str">
        <f t="shared" si="1"/>
        <v/>
      </c>
      <c r="E921" s="22" t="str">
        <f>IF(A921="","",Inputs!$C$6*D921)</f>
        <v/>
      </c>
    </row>
    <row r="922">
      <c r="A922" s="18" t="str">
        <f>'Cashflow Schedule'!B922</f>
        <v/>
      </c>
      <c r="B922" s="18" t="str">
        <f>'Cashflow Schedule'!E922</f>
        <v/>
      </c>
      <c r="C922" s="21" t="str">
        <f>IF(A922="","",EXP(-Inputs!$C$7*A922))</f>
        <v/>
      </c>
      <c r="D922" s="22" t="str">
        <f t="shared" si="1"/>
        <v/>
      </c>
      <c r="E922" s="22" t="str">
        <f>IF(A922="","",Inputs!$C$6*D922)</f>
        <v/>
      </c>
    </row>
    <row r="923">
      <c r="A923" s="18" t="str">
        <f>'Cashflow Schedule'!B923</f>
        <v/>
      </c>
      <c r="B923" s="18" t="str">
        <f>'Cashflow Schedule'!E923</f>
        <v/>
      </c>
      <c r="C923" s="21" t="str">
        <f>IF(A923="","",EXP(-Inputs!$C$7*A923))</f>
        <v/>
      </c>
      <c r="D923" s="22" t="str">
        <f t="shared" si="1"/>
        <v/>
      </c>
      <c r="E923" s="22" t="str">
        <f>IF(A923="","",Inputs!$C$6*D923)</f>
        <v/>
      </c>
    </row>
    <row r="924">
      <c r="A924" s="18" t="str">
        <f>'Cashflow Schedule'!B924</f>
        <v/>
      </c>
      <c r="B924" s="18" t="str">
        <f>'Cashflow Schedule'!E924</f>
        <v/>
      </c>
      <c r="C924" s="21" t="str">
        <f>IF(A924="","",EXP(-Inputs!$C$7*A924))</f>
        <v/>
      </c>
      <c r="D924" s="22" t="str">
        <f t="shared" si="1"/>
        <v/>
      </c>
      <c r="E924" s="22" t="str">
        <f>IF(A924="","",Inputs!$C$6*D924)</f>
        <v/>
      </c>
    </row>
    <row r="925">
      <c r="A925" s="18" t="str">
        <f>'Cashflow Schedule'!B925</f>
        <v/>
      </c>
      <c r="B925" s="18" t="str">
        <f>'Cashflow Schedule'!E925</f>
        <v/>
      </c>
      <c r="C925" s="21" t="str">
        <f>IF(A925="","",EXP(-Inputs!$C$7*A925))</f>
        <v/>
      </c>
      <c r="D925" s="22" t="str">
        <f t="shared" si="1"/>
        <v/>
      </c>
      <c r="E925" s="22" t="str">
        <f>IF(A925="","",Inputs!$C$6*D925)</f>
        <v/>
      </c>
    </row>
    <row r="926">
      <c r="A926" s="18" t="str">
        <f>'Cashflow Schedule'!B926</f>
        <v/>
      </c>
      <c r="B926" s="18" t="str">
        <f>'Cashflow Schedule'!E926</f>
        <v/>
      </c>
      <c r="C926" s="21" t="str">
        <f>IF(A926="","",EXP(-Inputs!$C$7*A926))</f>
        <v/>
      </c>
      <c r="D926" s="22" t="str">
        <f t="shared" si="1"/>
        <v/>
      </c>
      <c r="E926" s="22" t="str">
        <f>IF(A926="","",Inputs!$C$6*D926)</f>
        <v/>
      </c>
    </row>
    <row r="927">
      <c r="A927" s="18" t="str">
        <f>'Cashflow Schedule'!B927</f>
        <v/>
      </c>
      <c r="B927" s="18" t="str">
        <f>'Cashflow Schedule'!E927</f>
        <v/>
      </c>
      <c r="C927" s="21" t="str">
        <f>IF(A927="","",EXP(-Inputs!$C$7*A927))</f>
        <v/>
      </c>
      <c r="D927" s="22" t="str">
        <f t="shared" si="1"/>
        <v/>
      </c>
      <c r="E927" s="22" t="str">
        <f>IF(A927="","",Inputs!$C$6*D927)</f>
        <v/>
      </c>
    </row>
    <row r="928">
      <c r="A928" s="18" t="str">
        <f>'Cashflow Schedule'!B928</f>
        <v/>
      </c>
      <c r="B928" s="18" t="str">
        <f>'Cashflow Schedule'!E928</f>
        <v/>
      </c>
      <c r="C928" s="21" t="str">
        <f>IF(A928="","",EXP(-Inputs!$C$7*A928))</f>
        <v/>
      </c>
      <c r="D928" s="22" t="str">
        <f t="shared" si="1"/>
        <v/>
      </c>
      <c r="E928" s="22" t="str">
        <f>IF(A928="","",Inputs!$C$6*D928)</f>
        <v/>
      </c>
    </row>
    <row r="929">
      <c r="A929" s="18" t="str">
        <f>'Cashflow Schedule'!B929</f>
        <v/>
      </c>
      <c r="B929" s="18" t="str">
        <f>'Cashflow Schedule'!E929</f>
        <v/>
      </c>
      <c r="C929" s="21" t="str">
        <f>IF(A929="","",EXP(-Inputs!$C$7*A929))</f>
        <v/>
      </c>
      <c r="D929" s="22" t="str">
        <f t="shared" si="1"/>
        <v/>
      </c>
      <c r="E929" s="22" t="str">
        <f>IF(A929="","",Inputs!$C$6*D929)</f>
        <v/>
      </c>
    </row>
    <row r="930">
      <c r="A930" s="18" t="str">
        <f>'Cashflow Schedule'!B930</f>
        <v/>
      </c>
      <c r="B930" s="18" t="str">
        <f>'Cashflow Schedule'!E930</f>
        <v/>
      </c>
      <c r="C930" s="21" t="str">
        <f>IF(A930="","",EXP(-Inputs!$C$7*A930))</f>
        <v/>
      </c>
      <c r="D930" s="22" t="str">
        <f t="shared" si="1"/>
        <v/>
      </c>
      <c r="E930" s="22" t="str">
        <f>IF(A930="","",Inputs!$C$6*D930)</f>
        <v/>
      </c>
    </row>
    <row r="931">
      <c r="A931" s="18" t="str">
        <f>'Cashflow Schedule'!B931</f>
        <v/>
      </c>
      <c r="B931" s="18" t="str">
        <f>'Cashflow Schedule'!E931</f>
        <v/>
      </c>
      <c r="C931" s="21" t="str">
        <f>IF(A931="","",EXP(-Inputs!$C$7*A931))</f>
        <v/>
      </c>
      <c r="D931" s="22" t="str">
        <f t="shared" si="1"/>
        <v/>
      </c>
      <c r="E931" s="22" t="str">
        <f>IF(A931="","",Inputs!$C$6*D931)</f>
        <v/>
      </c>
    </row>
    <row r="932">
      <c r="A932" s="18" t="str">
        <f>'Cashflow Schedule'!B932</f>
        <v/>
      </c>
      <c r="B932" s="18" t="str">
        <f>'Cashflow Schedule'!E932</f>
        <v/>
      </c>
      <c r="C932" s="21" t="str">
        <f>IF(A932="","",EXP(-Inputs!$C$7*A932))</f>
        <v/>
      </c>
      <c r="D932" s="22" t="str">
        <f t="shared" si="1"/>
        <v/>
      </c>
      <c r="E932" s="22" t="str">
        <f>IF(A932="","",Inputs!$C$6*D932)</f>
        <v/>
      </c>
    </row>
    <row r="933">
      <c r="A933" s="18" t="str">
        <f>'Cashflow Schedule'!B933</f>
        <v/>
      </c>
      <c r="B933" s="18" t="str">
        <f>'Cashflow Schedule'!E933</f>
        <v/>
      </c>
      <c r="C933" s="21" t="str">
        <f>IF(A933="","",EXP(-Inputs!$C$7*A933))</f>
        <v/>
      </c>
      <c r="D933" s="22" t="str">
        <f t="shared" si="1"/>
        <v/>
      </c>
      <c r="E933" s="22" t="str">
        <f>IF(A933="","",Inputs!$C$6*D933)</f>
        <v/>
      </c>
    </row>
    <row r="934">
      <c r="A934" s="18" t="str">
        <f>'Cashflow Schedule'!B934</f>
        <v/>
      </c>
      <c r="B934" s="18" t="str">
        <f>'Cashflow Schedule'!E934</f>
        <v/>
      </c>
      <c r="C934" s="21" t="str">
        <f>IF(A934="","",EXP(-Inputs!$C$7*A934))</f>
        <v/>
      </c>
      <c r="D934" s="22" t="str">
        <f t="shared" si="1"/>
        <v/>
      </c>
      <c r="E934" s="22" t="str">
        <f>IF(A934="","",Inputs!$C$6*D934)</f>
        <v/>
      </c>
    </row>
    <row r="935">
      <c r="A935" s="18" t="str">
        <f>'Cashflow Schedule'!B935</f>
        <v/>
      </c>
      <c r="B935" s="18" t="str">
        <f>'Cashflow Schedule'!E935</f>
        <v/>
      </c>
      <c r="C935" s="21" t="str">
        <f>IF(A935="","",EXP(-Inputs!$C$7*A935))</f>
        <v/>
      </c>
      <c r="D935" s="22" t="str">
        <f t="shared" si="1"/>
        <v/>
      </c>
      <c r="E935" s="22" t="str">
        <f>IF(A935="","",Inputs!$C$6*D935)</f>
        <v/>
      </c>
    </row>
    <row r="936">
      <c r="A936" s="18" t="str">
        <f>'Cashflow Schedule'!B936</f>
        <v/>
      </c>
      <c r="B936" s="18" t="str">
        <f>'Cashflow Schedule'!E936</f>
        <v/>
      </c>
      <c r="C936" s="21" t="str">
        <f>IF(A936="","",EXP(-Inputs!$C$7*A936))</f>
        <v/>
      </c>
      <c r="D936" s="22" t="str">
        <f t="shared" si="1"/>
        <v/>
      </c>
      <c r="E936" s="22" t="str">
        <f>IF(A936="","",Inputs!$C$6*D936)</f>
        <v/>
      </c>
    </row>
    <row r="937">
      <c r="A937" s="18" t="str">
        <f>'Cashflow Schedule'!B937</f>
        <v/>
      </c>
      <c r="B937" s="18" t="str">
        <f>'Cashflow Schedule'!E937</f>
        <v/>
      </c>
      <c r="C937" s="21" t="str">
        <f>IF(A937="","",EXP(-Inputs!$C$7*A937))</f>
        <v/>
      </c>
      <c r="D937" s="22" t="str">
        <f t="shared" si="1"/>
        <v/>
      </c>
      <c r="E937" s="22" t="str">
        <f>IF(A937="","",Inputs!$C$6*D937)</f>
        <v/>
      </c>
    </row>
    <row r="938">
      <c r="A938" s="18" t="str">
        <f>'Cashflow Schedule'!B938</f>
        <v/>
      </c>
      <c r="B938" s="18" t="str">
        <f>'Cashflow Schedule'!E938</f>
        <v/>
      </c>
      <c r="C938" s="21" t="str">
        <f>IF(A938="","",EXP(-Inputs!$C$7*A938))</f>
        <v/>
      </c>
      <c r="D938" s="22" t="str">
        <f t="shared" si="1"/>
        <v/>
      </c>
      <c r="E938" s="22" t="str">
        <f>IF(A938="","",Inputs!$C$6*D938)</f>
        <v/>
      </c>
    </row>
    <row r="939">
      <c r="A939" s="18" t="str">
        <f>'Cashflow Schedule'!B939</f>
        <v/>
      </c>
      <c r="B939" s="18" t="str">
        <f>'Cashflow Schedule'!E939</f>
        <v/>
      </c>
      <c r="C939" s="21" t="str">
        <f>IF(A939="","",EXP(-Inputs!$C$7*A939))</f>
        <v/>
      </c>
      <c r="D939" s="22" t="str">
        <f t="shared" si="1"/>
        <v/>
      </c>
      <c r="E939" s="22" t="str">
        <f>IF(A939="","",Inputs!$C$6*D939)</f>
        <v/>
      </c>
    </row>
    <row r="940">
      <c r="A940" s="18" t="str">
        <f>'Cashflow Schedule'!B940</f>
        <v/>
      </c>
      <c r="B940" s="18" t="str">
        <f>'Cashflow Schedule'!E940</f>
        <v/>
      </c>
      <c r="C940" s="21" t="str">
        <f>IF(A940="","",EXP(-Inputs!$C$7*A940))</f>
        <v/>
      </c>
      <c r="D940" s="22" t="str">
        <f t="shared" si="1"/>
        <v/>
      </c>
      <c r="E940" s="22" t="str">
        <f>IF(A940="","",Inputs!$C$6*D940)</f>
        <v/>
      </c>
    </row>
    <row r="941">
      <c r="A941" s="18" t="str">
        <f>'Cashflow Schedule'!B941</f>
        <v/>
      </c>
      <c r="B941" s="18" t="str">
        <f>'Cashflow Schedule'!E941</f>
        <v/>
      </c>
      <c r="C941" s="21" t="str">
        <f>IF(A941="","",EXP(-Inputs!$C$7*A941))</f>
        <v/>
      </c>
      <c r="D941" s="22" t="str">
        <f t="shared" si="1"/>
        <v/>
      </c>
      <c r="E941" s="22" t="str">
        <f>IF(A941="","",Inputs!$C$6*D941)</f>
        <v/>
      </c>
    </row>
    <row r="942">
      <c r="A942" s="18" t="str">
        <f>'Cashflow Schedule'!B942</f>
        <v/>
      </c>
      <c r="B942" s="18" t="str">
        <f>'Cashflow Schedule'!E942</f>
        <v/>
      </c>
      <c r="C942" s="21" t="str">
        <f>IF(A942="","",EXP(-Inputs!$C$7*A942))</f>
        <v/>
      </c>
      <c r="D942" s="22" t="str">
        <f t="shared" si="1"/>
        <v/>
      </c>
      <c r="E942" s="22" t="str">
        <f>IF(A942="","",Inputs!$C$6*D942)</f>
        <v/>
      </c>
    </row>
    <row r="943">
      <c r="A943" s="18" t="str">
        <f>'Cashflow Schedule'!B943</f>
        <v/>
      </c>
      <c r="B943" s="18" t="str">
        <f>'Cashflow Schedule'!E943</f>
        <v/>
      </c>
      <c r="C943" s="21" t="str">
        <f>IF(A943="","",EXP(-Inputs!$C$7*A943))</f>
        <v/>
      </c>
      <c r="D943" s="22" t="str">
        <f t="shared" si="1"/>
        <v/>
      </c>
      <c r="E943" s="22" t="str">
        <f>IF(A943="","",Inputs!$C$6*D943)</f>
        <v/>
      </c>
    </row>
    <row r="944">
      <c r="A944" s="18" t="str">
        <f>'Cashflow Schedule'!B944</f>
        <v/>
      </c>
      <c r="B944" s="18" t="str">
        <f>'Cashflow Schedule'!E944</f>
        <v/>
      </c>
      <c r="C944" s="21" t="str">
        <f>IF(A944="","",EXP(-Inputs!$C$7*A944))</f>
        <v/>
      </c>
      <c r="D944" s="22" t="str">
        <f t="shared" si="1"/>
        <v/>
      </c>
      <c r="E944" s="22" t="str">
        <f>IF(A944="","",Inputs!$C$6*D944)</f>
        <v/>
      </c>
    </row>
    <row r="945">
      <c r="A945" s="18" t="str">
        <f>'Cashflow Schedule'!B945</f>
        <v/>
      </c>
      <c r="B945" s="18" t="str">
        <f>'Cashflow Schedule'!E945</f>
        <v/>
      </c>
      <c r="C945" s="21" t="str">
        <f>IF(A945="","",EXP(-Inputs!$C$7*A945))</f>
        <v/>
      </c>
      <c r="D945" s="22" t="str">
        <f t="shared" si="1"/>
        <v/>
      </c>
      <c r="E945" s="22" t="str">
        <f>IF(A945="","",Inputs!$C$6*D945)</f>
        <v/>
      </c>
    </row>
    <row r="946">
      <c r="A946" s="18" t="str">
        <f>'Cashflow Schedule'!B946</f>
        <v/>
      </c>
      <c r="B946" s="18" t="str">
        <f>'Cashflow Schedule'!E946</f>
        <v/>
      </c>
      <c r="C946" s="21" t="str">
        <f>IF(A946="","",EXP(-Inputs!$C$7*A946))</f>
        <v/>
      </c>
      <c r="D946" s="22" t="str">
        <f t="shared" si="1"/>
        <v/>
      </c>
      <c r="E946" s="22" t="str">
        <f>IF(A946="","",Inputs!$C$6*D946)</f>
        <v/>
      </c>
    </row>
    <row r="947">
      <c r="A947" s="18" t="str">
        <f>'Cashflow Schedule'!B947</f>
        <v/>
      </c>
      <c r="B947" s="18" t="str">
        <f>'Cashflow Schedule'!E947</f>
        <v/>
      </c>
      <c r="C947" s="21" t="str">
        <f>IF(A947="","",EXP(-Inputs!$C$7*A947))</f>
        <v/>
      </c>
      <c r="D947" s="22" t="str">
        <f t="shared" si="1"/>
        <v/>
      </c>
      <c r="E947" s="22" t="str">
        <f>IF(A947="","",Inputs!$C$6*D947)</f>
        <v/>
      </c>
    </row>
    <row r="948">
      <c r="A948" s="18" t="str">
        <f>'Cashflow Schedule'!B948</f>
        <v/>
      </c>
      <c r="B948" s="18" t="str">
        <f>'Cashflow Schedule'!E948</f>
        <v/>
      </c>
      <c r="C948" s="21" t="str">
        <f>IF(A948="","",EXP(-Inputs!$C$7*A948))</f>
        <v/>
      </c>
      <c r="D948" s="22" t="str">
        <f t="shared" si="1"/>
        <v/>
      </c>
      <c r="E948" s="22" t="str">
        <f>IF(A948="","",Inputs!$C$6*D948)</f>
        <v/>
      </c>
    </row>
    <row r="949">
      <c r="A949" s="18" t="str">
        <f>'Cashflow Schedule'!B949</f>
        <v/>
      </c>
      <c r="B949" s="18" t="str">
        <f>'Cashflow Schedule'!E949</f>
        <v/>
      </c>
      <c r="C949" s="21" t="str">
        <f>IF(A949="","",EXP(-Inputs!$C$7*A949))</f>
        <v/>
      </c>
      <c r="D949" s="22" t="str">
        <f t="shared" si="1"/>
        <v/>
      </c>
      <c r="E949" s="22" t="str">
        <f>IF(A949="","",Inputs!$C$6*D949)</f>
        <v/>
      </c>
    </row>
    <row r="950">
      <c r="A950" s="18" t="str">
        <f>'Cashflow Schedule'!B950</f>
        <v/>
      </c>
      <c r="B950" s="18" t="str">
        <f>'Cashflow Schedule'!E950</f>
        <v/>
      </c>
      <c r="C950" s="21" t="str">
        <f>IF(A950="","",EXP(-Inputs!$C$7*A950))</f>
        <v/>
      </c>
      <c r="D950" s="22" t="str">
        <f t="shared" si="1"/>
        <v/>
      </c>
      <c r="E950" s="22" t="str">
        <f>IF(A950="","",Inputs!$C$6*D950)</f>
        <v/>
      </c>
    </row>
    <row r="951">
      <c r="A951" s="18" t="str">
        <f>'Cashflow Schedule'!B951</f>
        <v/>
      </c>
      <c r="B951" s="18" t="str">
        <f>'Cashflow Schedule'!E951</f>
        <v/>
      </c>
      <c r="C951" s="21" t="str">
        <f>IF(A951="","",EXP(-Inputs!$C$7*A951))</f>
        <v/>
      </c>
      <c r="D951" s="22" t="str">
        <f t="shared" si="1"/>
        <v/>
      </c>
      <c r="E951" s="22" t="str">
        <f>IF(A951="","",Inputs!$C$6*D951)</f>
        <v/>
      </c>
    </row>
    <row r="952">
      <c r="A952" s="18" t="str">
        <f>'Cashflow Schedule'!B952</f>
        <v/>
      </c>
      <c r="B952" s="18" t="str">
        <f>'Cashflow Schedule'!E952</f>
        <v/>
      </c>
      <c r="C952" s="21" t="str">
        <f>IF(A952="","",EXP(-Inputs!$C$7*A952))</f>
        <v/>
      </c>
      <c r="D952" s="22" t="str">
        <f t="shared" si="1"/>
        <v/>
      </c>
      <c r="E952" s="22" t="str">
        <f>IF(A952="","",Inputs!$C$6*D952)</f>
        <v/>
      </c>
    </row>
    <row r="953">
      <c r="A953" s="18" t="str">
        <f>'Cashflow Schedule'!B953</f>
        <v/>
      </c>
      <c r="B953" s="18" t="str">
        <f>'Cashflow Schedule'!E953</f>
        <v/>
      </c>
      <c r="C953" s="21" t="str">
        <f>IF(A953="","",EXP(-Inputs!$C$7*A953))</f>
        <v/>
      </c>
      <c r="D953" s="22" t="str">
        <f t="shared" si="1"/>
        <v/>
      </c>
      <c r="E953" s="22" t="str">
        <f>IF(A953="","",Inputs!$C$6*D953)</f>
        <v/>
      </c>
    </row>
    <row r="954">
      <c r="A954" s="18" t="str">
        <f>'Cashflow Schedule'!B954</f>
        <v/>
      </c>
      <c r="B954" s="18" t="str">
        <f>'Cashflow Schedule'!E954</f>
        <v/>
      </c>
      <c r="C954" s="21" t="str">
        <f>IF(A954="","",EXP(-Inputs!$C$7*A954))</f>
        <v/>
      </c>
      <c r="D954" s="22" t="str">
        <f t="shared" si="1"/>
        <v/>
      </c>
      <c r="E954" s="22" t="str">
        <f>IF(A954="","",Inputs!$C$6*D954)</f>
        <v/>
      </c>
    </row>
    <row r="955">
      <c r="A955" s="18" t="str">
        <f>'Cashflow Schedule'!B955</f>
        <v/>
      </c>
      <c r="B955" s="18" t="str">
        <f>'Cashflow Schedule'!E955</f>
        <v/>
      </c>
      <c r="C955" s="21" t="str">
        <f>IF(A955="","",EXP(-Inputs!$C$7*A955))</f>
        <v/>
      </c>
      <c r="D955" s="22" t="str">
        <f t="shared" si="1"/>
        <v/>
      </c>
      <c r="E955" s="22" t="str">
        <f>IF(A955="","",Inputs!$C$6*D955)</f>
        <v/>
      </c>
    </row>
    <row r="956">
      <c r="A956" s="18" t="str">
        <f>'Cashflow Schedule'!B956</f>
        <v/>
      </c>
      <c r="B956" s="18" t="str">
        <f>'Cashflow Schedule'!E956</f>
        <v/>
      </c>
      <c r="C956" s="21" t="str">
        <f>IF(A956="","",EXP(-Inputs!$C$7*A956))</f>
        <v/>
      </c>
      <c r="D956" s="22" t="str">
        <f t="shared" si="1"/>
        <v/>
      </c>
      <c r="E956" s="22" t="str">
        <f>IF(A956="","",Inputs!$C$6*D956)</f>
        <v/>
      </c>
    </row>
    <row r="957">
      <c r="A957" s="18" t="str">
        <f>'Cashflow Schedule'!B957</f>
        <v/>
      </c>
      <c r="B957" s="18" t="str">
        <f>'Cashflow Schedule'!E957</f>
        <v/>
      </c>
      <c r="C957" s="21" t="str">
        <f>IF(A957="","",EXP(-Inputs!$C$7*A957))</f>
        <v/>
      </c>
      <c r="D957" s="22" t="str">
        <f t="shared" si="1"/>
        <v/>
      </c>
      <c r="E957" s="22" t="str">
        <f>IF(A957="","",Inputs!$C$6*D957)</f>
        <v/>
      </c>
    </row>
    <row r="958">
      <c r="A958" s="18" t="str">
        <f>'Cashflow Schedule'!B958</f>
        <v/>
      </c>
      <c r="B958" s="18" t="str">
        <f>'Cashflow Schedule'!E958</f>
        <v/>
      </c>
      <c r="C958" s="21" t="str">
        <f>IF(A958="","",EXP(-Inputs!$C$7*A958))</f>
        <v/>
      </c>
      <c r="D958" s="22" t="str">
        <f t="shared" si="1"/>
        <v/>
      </c>
      <c r="E958" s="22" t="str">
        <f>IF(A958="","",Inputs!$C$6*D958)</f>
        <v/>
      </c>
    </row>
    <row r="959">
      <c r="A959" s="18" t="str">
        <f>'Cashflow Schedule'!B959</f>
        <v/>
      </c>
      <c r="B959" s="18" t="str">
        <f>'Cashflow Schedule'!E959</f>
        <v/>
      </c>
      <c r="C959" s="21" t="str">
        <f>IF(A959="","",EXP(-Inputs!$C$7*A959))</f>
        <v/>
      </c>
      <c r="D959" s="22" t="str">
        <f t="shared" si="1"/>
        <v/>
      </c>
      <c r="E959" s="22" t="str">
        <f>IF(A959="","",Inputs!$C$6*D959)</f>
        <v/>
      </c>
    </row>
    <row r="960">
      <c r="A960" s="18" t="str">
        <f>'Cashflow Schedule'!B960</f>
        <v/>
      </c>
      <c r="B960" s="18" t="str">
        <f>'Cashflow Schedule'!E960</f>
        <v/>
      </c>
      <c r="C960" s="21" t="str">
        <f>IF(A960="","",EXP(-Inputs!$C$7*A960))</f>
        <v/>
      </c>
      <c r="D960" s="22" t="str">
        <f t="shared" si="1"/>
        <v/>
      </c>
      <c r="E960" s="22" t="str">
        <f>IF(A960="","",Inputs!$C$6*D960)</f>
        <v/>
      </c>
    </row>
    <row r="961">
      <c r="A961" s="18" t="str">
        <f>'Cashflow Schedule'!B961</f>
        <v/>
      </c>
      <c r="B961" s="18" t="str">
        <f>'Cashflow Schedule'!E961</f>
        <v/>
      </c>
      <c r="C961" s="21" t="str">
        <f>IF(A961="","",EXP(-Inputs!$C$7*A961))</f>
        <v/>
      </c>
      <c r="D961" s="22" t="str">
        <f t="shared" si="1"/>
        <v/>
      </c>
      <c r="E961" s="22" t="str">
        <f>IF(A961="","",Inputs!$C$6*D961)</f>
        <v/>
      </c>
    </row>
    <row r="962">
      <c r="A962" s="18" t="str">
        <f>'Cashflow Schedule'!B962</f>
        <v/>
      </c>
      <c r="B962" s="18" t="str">
        <f>'Cashflow Schedule'!E962</f>
        <v/>
      </c>
      <c r="C962" s="21" t="str">
        <f>IF(A962="","",EXP(-Inputs!$C$7*A962))</f>
        <v/>
      </c>
      <c r="D962" s="22" t="str">
        <f t="shared" si="1"/>
        <v/>
      </c>
      <c r="E962" s="22" t="str">
        <f>IF(A962="","",Inputs!$C$6*D962)</f>
        <v/>
      </c>
    </row>
    <row r="963">
      <c r="A963" s="18" t="str">
        <f>'Cashflow Schedule'!B963</f>
        <v/>
      </c>
      <c r="B963" s="18" t="str">
        <f>'Cashflow Schedule'!E963</f>
        <v/>
      </c>
      <c r="C963" s="21" t="str">
        <f>IF(A963="","",EXP(-Inputs!$C$7*A963))</f>
        <v/>
      </c>
      <c r="D963" s="22" t="str">
        <f t="shared" si="1"/>
        <v/>
      </c>
      <c r="E963" s="22" t="str">
        <f>IF(A963="","",Inputs!$C$6*D963)</f>
        <v/>
      </c>
    </row>
    <row r="964">
      <c r="A964" s="18" t="str">
        <f>'Cashflow Schedule'!B964</f>
        <v/>
      </c>
      <c r="B964" s="18" t="str">
        <f>'Cashflow Schedule'!E964</f>
        <v/>
      </c>
      <c r="C964" s="21" t="str">
        <f>IF(A964="","",EXP(-Inputs!$C$7*A964))</f>
        <v/>
      </c>
      <c r="D964" s="22" t="str">
        <f t="shared" si="1"/>
        <v/>
      </c>
      <c r="E964" s="22" t="str">
        <f>IF(A964="","",Inputs!$C$6*D964)</f>
        <v/>
      </c>
    </row>
    <row r="965">
      <c r="A965" s="18" t="str">
        <f>'Cashflow Schedule'!B965</f>
        <v/>
      </c>
      <c r="B965" s="18" t="str">
        <f>'Cashflow Schedule'!E965</f>
        <v/>
      </c>
      <c r="C965" s="21" t="str">
        <f>IF(A965="","",EXP(-Inputs!$C$7*A965))</f>
        <v/>
      </c>
      <c r="D965" s="22" t="str">
        <f t="shared" si="1"/>
        <v/>
      </c>
      <c r="E965" s="22" t="str">
        <f>IF(A965="","",Inputs!$C$6*D965)</f>
        <v/>
      </c>
    </row>
    <row r="966">
      <c r="A966" s="18" t="str">
        <f>'Cashflow Schedule'!B966</f>
        <v/>
      </c>
      <c r="B966" s="18" t="str">
        <f>'Cashflow Schedule'!E966</f>
        <v/>
      </c>
      <c r="C966" s="21" t="str">
        <f>IF(A966="","",EXP(-Inputs!$C$7*A966))</f>
        <v/>
      </c>
      <c r="D966" s="22" t="str">
        <f t="shared" si="1"/>
        <v/>
      </c>
      <c r="E966" s="22" t="str">
        <f>IF(A966="","",Inputs!$C$6*D966)</f>
        <v/>
      </c>
    </row>
    <row r="967">
      <c r="A967" s="18" t="str">
        <f>'Cashflow Schedule'!B967</f>
        <v/>
      </c>
      <c r="B967" s="18" t="str">
        <f>'Cashflow Schedule'!E967</f>
        <v/>
      </c>
      <c r="C967" s="21" t="str">
        <f>IF(A967="","",EXP(-Inputs!$C$7*A967))</f>
        <v/>
      </c>
      <c r="D967" s="22" t="str">
        <f t="shared" si="1"/>
        <v/>
      </c>
      <c r="E967" s="22" t="str">
        <f>IF(A967="","",Inputs!$C$6*D967)</f>
        <v/>
      </c>
    </row>
    <row r="968">
      <c r="A968" s="18" t="str">
        <f>'Cashflow Schedule'!B968</f>
        <v/>
      </c>
      <c r="B968" s="18" t="str">
        <f>'Cashflow Schedule'!E968</f>
        <v/>
      </c>
      <c r="C968" s="21" t="str">
        <f>IF(A968="","",EXP(-Inputs!$C$7*A968))</f>
        <v/>
      </c>
      <c r="D968" s="22" t="str">
        <f t="shared" si="1"/>
        <v/>
      </c>
      <c r="E968" s="22" t="str">
        <f>IF(A968="","",Inputs!$C$6*D968)</f>
        <v/>
      </c>
    </row>
    <row r="969">
      <c r="A969" s="18" t="str">
        <f>'Cashflow Schedule'!B969</f>
        <v/>
      </c>
      <c r="B969" s="18" t="str">
        <f>'Cashflow Schedule'!E969</f>
        <v/>
      </c>
      <c r="C969" s="21" t="str">
        <f>IF(A969="","",EXP(-Inputs!$C$7*A969))</f>
        <v/>
      </c>
      <c r="D969" s="22" t="str">
        <f t="shared" si="1"/>
        <v/>
      </c>
      <c r="E969" s="22" t="str">
        <f>IF(A969="","",Inputs!$C$6*D969)</f>
        <v/>
      </c>
    </row>
    <row r="970">
      <c r="A970" s="18" t="str">
        <f>'Cashflow Schedule'!B970</f>
        <v/>
      </c>
      <c r="B970" s="18" t="str">
        <f>'Cashflow Schedule'!E970</f>
        <v/>
      </c>
      <c r="C970" s="21" t="str">
        <f>IF(A970="","",EXP(-Inputs!$C$7*A970))</f>
        <v/>
      </c>
      <c r="D970" s="22" t="str">
        <f t="shared" si="1"/>
        <v/>
      </c>
      <c r="E970" s="22" t="str">
        <f>IF(A970="","",Inputs!$C$6*D970)</f>
        <v/>
      </c>
    </row>
    <row r="971">
      <c r="A971" s="18" t="str">
        <f>'Cashflow Schedule'!B971</f>
        <v/>
      </c>
      <c r="B971" s="18" t="str">
        <f>'Cashflow Schedule'!E971</f>
        <v/>
      </c>
      <c r="C971" s="21" t="str">
        <f>IF(A971="","",EXP(-Inputs!$C$7*A971))</f>
        <v/>
      </c>
      <c r="D971" s="22" t="str">
        <f t="shared" si="1"/>
        <v/>
      </c>
      <c r="E971" s="22" t="str">
        <f>IF(A971="","",Inputs!$C$6*D971)</f>
        <v/>
      </c>
    </row>
    <row r="972">
      <c r="A972" s="18" t="str">
        <f>'Cashflow Schedule'!B972</f>
        <v/>
      </c>
      <c r="B972" s="18" t="str">
        <f>'Cashflow Schedule'!E972</f>
        <v/>
      </c>
      <c r="C972" s="21" t="str">
        <f>IF(A972="","",EXP(-Inputs!$C$7*A972))</f>
        <v/>
      </c>
      <c r="D972" s="22" t="str">
        <f t="shared" si="1"/>
        <v/>
      </c>
      <c r="E972" s="22" t="str">
        <f>IF(A972="","",Inputs!$C$6*D972)</f>
        <v/>
      </c>
    </row>
    <row r="973">
      <c r="A973" s="18" t="str">
        <f>'Cashflow Schedule'!B973</f>
        <v/>
      </c>
      <c r="B973" s="18" t="str">
        <f>'Cashflow Schedule'!E973</f>
        <v/>
      </c>
      <c r="C973" s="21" t="str">
        <f>IF(A973="","",EXP(-Inputs!$C$7*A973))</f>
        <v/>
      </c>
      <c r="D973" s="22" t="str">
        <f t="shared" si="1"/>
        <v/>
      </c>
      <c r="E973" s="22" t="str">
        <f>IF(A973="","",Inputs!$C$6*D973)</f>
        <v/>
      </c>
    </row>
    <row r="974">
      <c r="A974" s="18" t="str">
        <f>'Cashflow Schedule'!B974</f>
        <v/>
      </c>
      <c r="B974" s="18" t="str">
        <f>'Cashflow Schedule'!E974</f>
        <v/>
      </c>
      <c r="C974" s="21" t="str">
        <f>IF(A974="","",EXP(-Inputs!$C$7*A974))</f>
        <v/>
      </c>
      <c r="D974" s="22" t="str">
        <f t="shared" si="1"/>
        <v/>
      </c>
      <c r="E974" s="22" t="str">
        <f>IF(A974="","",Inputs!$C$6*D974)</f>
        <v/>
      </c>
    </row>
    <row r="975">
      <c r="A975" s="18" t="str">
        <f>'Cashflow Schedule'!B975</f>
        <v/>
      </c>
      <c r="B975" s="18" t="str">
        <f>'Cashflow Schedule'!E975</f>
        <v/>
      </c>
      <c r="C975" s="21" t="str">
        <f>IF(A975="","",EXP(-Inputs!$C$7*A975))</f>
        <v/>
      </c>
      <c r="D975" s="22" t="str">
        <f t="shared" si="1"/>
        <v/>
      </c>
      <c r="E975" s="22" t="str">
        <f>IF(A975="","",Inputs!$C$6*D975)</f>
        <v/>
      </c>
    </row>
    <row r="976">
      <c r="A976" s="18" t="str">
        <f>'Cashflow Schedule'!B976</f>
        <v/>
      </c>
      <c r="B976" s="18" t="str">
        <f>'Cashflow Schedule'!E976</f>
        <v/>
      </c>
      <c r="C976" s="21" t="str">
        <f>IF(A976="","",EXP(-Inputs!$C$7*A976))</f>
        <v/>
      </c>
      <c r="D976" s="22" t="str">
        <f t="shared" si="1"/>
        <v/>
      </c>
      <c r="E976" s="22" t="str">
        <f>IF(A976="","",Inputs!$C$6*D976)</f>
        <v/>
      </c>
    </row>
    <row r="977">
      <c r="A977" s="18" t="str">
        <f>'Cashflow Schedule'!B977</f>
        <v/>
      </c>
      <c r="B977" s="18" t="str">
        <f>'Cashflow Schedule'!E977</f>
        <v/>
      </c>
      <c r="C977" s="21" t="str">
        <f>IF(A977="","",EXP(-Inputs!$C$7*A977))</f>
        <v/>
      </c>
      <c r="D977" s="22" t="str">
        <f t="shared" si="1"/>
        <v/>
      </c>
      <c r="E977" s="22" t="str">
        <f>IF(A977="","",Inputs!$C$6*D977)</f>
        <v/>
      </c>
    </row>
    <row r="978">
      <c r="A978" s="18" t="str">
        <f>'Cashflow Schedule'!B978</f>
        <v/>
      </c>
      <c r="B978" s="18" t="str">
        <f>'Cashflow Schedule'!E978</f>
        <v/>
      </c>
      <c r="C978" s="21" t="str">
        <f>IF(A978="","",EXP(-Inputs!$C$7*A978))</f>
        <v/>
      </c>
      <c r="D978" s="22" t="str">
        <f t="shared" si="1"/>
        <v/>
      </c>
      <c r="E978" s="22" t="str">
        <f>IF(A978="","",Inputs!$C$6*D978)</f>
        <v/>
      </c>
    </row>
    <row r="979">
      <c r="A979" s="18" t="str">
        <f>'Cashflow Schedule'!B979</f>
        <v/>
      </c>
      <c r="B979" s="18" t="str">
        <f>'Cashflow Schedule'!E979</f>
        <v/>
      </c>
      <c r="C979" s="21" t="str">
        <f>IF(A979="","",EXP(-Inputs!$C$7*A979))</f>
        <v/>
      </c>
      <c r="D979" s="22" t="str">
        <f t="shared" si="1"/>
        <v/>
      </c>
      <c r="E979" s="22" t="str">
        <f>IF(A979="","",Inputs!$C$6*D979)</f>
        <v/>
      </c>
    </row>
    <row r="980">
      <c r="A980" s="18" t="str">
        <f>'Cashflow Schedule'!B980</f>
        <v/>
      </c>
      <c r="B980" s="18" t="str">
        <f>'Cashflow Schedule'!E980</f>
        <v/>
      </c>
      <c r="C980" s="21" t="str">
        <f>IF(A980="","",EXP(-Inputs!$C$7*A980))</f>
        <v/>
      </c>
      <c r="D980" s="22" t="str">
        <f t="shared" si="1"/>
        <v/>
      </c>
      <c r="E980" s="22" t="str">
        <f>IF(A980="","",Inputs!$C$6*D980)</f>
        <v/>
      </c>
    </row>
    <row r="981">
      <c r="A981" s="18" t="str">
        <f>'Cashflow Schedule'!B981</f>
        <v/>
      </c>
      <c r="B981" s="18" t="str">
        <f>'Cashflow Schedule'!E981</f>
        <v/>
      </c>
      <c r="C981" s="21" t="str">
        <f>IF(A981="","",EXP(-Inputs!$C$7*A981))</f>
        <v/>
      </c>
      <c r="D981" s="22" t="str">
        <f t="shared" si="1"/>
        <v/>
      </c>
      <c r="E981" s="22" t="str">
        <f>IF(A981="","",Inputs!$C$6*D981)</f>
        <v/>
      </c>
    </row>
    <row r="982">
      <c r="A982" s="18" t="str">
        <f>'Cashflow Schedule'!B982</f>
        <v/>
      </c>
      <c r="B982" s="18" t="str">
        <f>'Cashflow Schedule'!E982</f>
        <v/>
      </c>
      <c r="C982" s="21" t="str">
        <f>IF(A982="","",EXP(-Inputs!$C$7*A982))</f>
        <v/>
      </c>
      <c r="D982" s="22" t="str">
        <f t="shared" si="1"/>
        <v/>
      </c>
      <c r="E982" s="22" t="str">
        <f>IF(A982="","",Inputs!$C$6*D982)</f>
        <v/>
      </c>
    </row>
    <row r="983">
      <c r="A983" s="18" t="str">
        <f>'Cashflow Schedule'!B983</f>
        <v/>
      </c>
      <c r="B983" s="18" t="str">
        <f>'Cashflow Schedule'!E983</f>
        <v/>
      </c>
      <c r="C983" s="21" t="str">
        <f>IF(A983="","",EXP(-Inputs!$C$7*A983))</f>
        <v/>
      </c>
      <c r="D983" s="22" t="str">
        <f t="shared" si="1"/>
        <v/>
      </c>
      <c r="E983" s="22" t="str">
        <f>IF(A983="","",Inputs!$C$6*D983)</f>
        <v/>
      </c>
    </row>
    <row r="984">
      <c r="A984" s="18" t="str">
        <f>'Cashflow Schedule'!B984</f>
        <v/>
      </c>
      <c r="B984" s="18" t="str">
        <f>'Cashflow Schedule'!E984</f>
        <v/>
      </c>
      <c r="C984" s="21" t="str">
        <f>IF(A984="","",EXP(-Inputs!$C$7*A984))</f>
        <v/>
      </c>
      <c r="D984" s="22" t="str">
        <f t="shared" si="1"/>
        <v/>
      </c>
      <c r="E984" s="22" t="str">
        <f>IF(A984="","",Inputs!$C$6*D984)</f>
        <v/>
      </c>
    </row>
    <row r="985">
      <c r="A985" s="18" t="str">
        <f>'Cashflow Schedule'!B985</f>
        <v/>
      </c>
      <c r="B985" s="18" t="str">
        <f>'Cashflow Schedule'!E985</f>
        <v/>
      </c>
      <c r="C985" s="21" t="str">
        <f>IF(A985="","",EXP(-Inputs!$C$7*A985))</f>
        <v/>
      </c>
      <c r="D985" s="22" t="str">
        <f t="shared" si="1"/>
        <v/>
      </c>
      <c r="E985" s="22" t="str">
        <f>IF(A985="","",Inputs!$C$6*D985)</f>
        <v/>
      </c>
    </row>
    <row r="986">
      <c r="A986" s="18" t="str">
        <f>'Cashflow Schedule'!B986</f>
        <v/>
      </c>
      <c r="B986" s="18" t="str">
        <f>'Cashflow Schedule'!E986</f>
        <v/>
      </c>
      <c r="C986" s="21" t="str">
        <f>IF(A986="","",EXP(-Inputs!$C$7*A986))</f>
        <v/>
      </c>
      <c r="D986" s="22" t="str">
        <f t="shared" si="1"/>
        <v/>
      </c>
      <c r="E986" s="22" t="str">
        <f>IF(A986="","",Inputs!$C$6*D986)</f>
        <v/>
      </c>
    </row>
    <row r="987">
      <c r="A987" s="18" t="str">
        <f>'Cashflow Schedule'!B987</f>
        <v/>
      </c>
      <c r="B987" s="18" t="str">
        <f>'Cashflow Schedule'!E987</f>
        <v/>
      </c>
      <c r="C987" s="21" t="str">
        <f>IF(A987="","",EXP(-Inputs!$C$7*A987))</f>
        <v/>
      </c>
      <c r="D987" s="22" t="str">
        <f t="shared" si="1"/>
        <v/>
      </c>
      <c r="E987" s="22" t="str">
        <f>IF(A987="","",Inputs!$C$6*D987)</f>
        <v/>
      </c>
    </row>
    <row r="988">
      <c r="A988" s="18" t="str">
        <f>'Cashflow Schedule'!B988</f>
        <v/>
      </c>
      <c r="B988" s="18" t="str">
        <f>'Cashflow Schedule'!E988</f>
        <v/>
      </c>
      <c r="C988" s="21" t="str">
        <f>IF(A988="","",EXP(-Inputs!$C$7*A988))</f>
        <v/>
      </c>
      <c r="D988" s="22" t="str">
        <f t="shared" si="1"/>
        <v/>
      </c>
      <c r="E988" s="22" t="str">
        <f>IF(A988="","",Inputs!$C$6*D988)</f>
        <v/>
      </c>
    </row>
    <row r="989">
      <c r="A989" s="18" t="str">
        <f>'Cashflow Schedule'!B989</f>
        <v/>
      </c>
      <c r="B989" s="18" t="str">
        <f>'Cashflow Schedule'!E989</f>
        <v/>
      </c>
      <c r="C989" s="21" t="str">
        <f>IF(A989="","",EXP(-Inputs!$C$7*A989))</f>
        <v/>
      </c>
      <c r="D989" s="22" t="str">
        <f t="shared" si="1"/>
        <v/>
      </c>
      <c r="E989" s="22" t="str">
        <f>IF(A989="","",Inputs!$C$6*D989)</f>
        <v/>
      </c>
    </row>
    <row r="990">
      <c r="A990" s="18" t="str">
        <f>'Cashflow Schedule'!B990</f>
        <v/>
      </c>
      <c r="B990" s="18" t="str">
        <f>'Cashflow Schedule'!E990</f>
        <v/>
      </c>
      <c r="C990" s="21" t="str">
        <f>IF(A990="","",EXP(-Inputs!$C$7*A990))</f>
        <v/>
      </c>
      <c r="D990" s="22" t="str">
        <f t="shared" si="1"/>
        <v/>
      </c>
      <c r="E990" s="22" t="str">
        <f>IF(A990="","",Inputs!$C$6*D990)</f>
        <v/>
      </c>
    </row>
    <row r="991">
      <c r="A991" s="18" t="str">
        <f>'Cashflow Schedule'!B991</f>
        <v/>
      </c>
      <c r="B991" s="18" t="str">
        <f>'Cashflow Schedule'!E991</f>
        <v/>
      </c>
      <c r="C991" s="21" t="str">
        <f>IF(A991="","",EXP(-Inputs!$C$7*A991))</f>
        <v/>
      </c>
      <c r="D991" s="22" t="str">
        <f t="shared" si="1"/>
        <v/>
      </c>
      <c r="E991" s="22" t="str">
        <f>IF(A991="","",Inputs!$C$6*D991)</f>
        <v/>
      </c>
    </row>
    <row r="992">
      <c r="A992" s="18" t="str">
        <f>'Cashflow Schedule'!B992</f>
        <v/>
      </c>
      <c r="B992" s="18" t="str">
        <f>'Cashflow Schedule'!E992</f>
        <v/>
      </c>
      <c r="C992" s="21" t="str">
        <f>IF(A992="","",EXP(-Inputs!$C$7*A992))</f>
        <v/>
      </c>
      <c r="D992" s="22" t="str">
        <f t="shared" si="1"/>
        <v/>
      </c>
      <c r="E992" s="22" t="str">
        <f>IF(A992="","",Inputs!$C$6*D992)</f>
        <v/>
      </c>
    </row>
    <row r="993">
      <c r="A993" s="18" t="str">
        <f>'Cashflow Schedule'!B993</f>
        <v/>
      </c>
      <c r="B993" s="18" t="str">
        <f>'Cashflow Schedule'!E993</f>
        <v/>
      </c>
      <c r="C993" s="21" t="str">
        <f>IF(A993="","",EXP(-Inputs!$C$7*A993))</f>
        <v/>
      </c>
      <c r="D993" s="22" t="str">
        <f t="shared" si="1"/>
        <v/>
      </c>
      <c r="E993" s="22" t="str">
        <f>IF(A993="","",Inputs!$C$6*D993)</f>
        <v/>
      </c>
    </row>
    <row r="994">
      <c r="A994" s="18" t="str">
        <f>'Cashflow Schedule'!B994</f>
        <v/>
      </c>
      <c r="B994" s="18" t="str">
        <f>'Cashflow Schedule'!E994</f>
        <v/>
      </c>
      <c r="C994" s="21" t="str">
        <f>IF(A994="","",EXP(-Inputs!$C$7*A994))</f>
        <v/>
      </c>
      <c r="D994" s="22" t="str">
        <f t="shared" si="1"/>
        <v/>
      </c>
      <c r="E994" s="22" t="str">
        <f>IF(A994="","",Inputs!$C$6*D994)</f>
        <v/>
      </c>
    </row>
    <row r="995">
      <c r="A995" s="18" t="str">
        <f>'Cashflow Schedule'!B995</f>
        <v/>
      </c>
      <c r="B995" s="18" t="str">
        <f>'Cashflow Schedule'!E995</f>
        <v/>
      </c>
      <c r="C995" s="21" t="str">
        <f>IF(A995="","",EXP(-Inputs!$C$7*A995))</f>
        <v/>
      </c>
      <c r="D995" s="22" t="str">
        <f t="shared" si="1"/>
        <v/>
      </c>
      <c r="E995" s="22" t="str">
        <f>IF(A995="","",Inputs!$C$6*D995)</f>
        <v/>
      </c>
    </row>
    <row r="996">
      <c r="A996" s="18" t="str">
        <f>'Cashflow Schedule'!B996</f>
        <v/>
      </c>
      <c r="B996" s="18" t="str">
        <f>'Cashflow Schedule'!E996</f>
        <v/>
      </c>
      <c r="C996" s="21" t="str">
        <f>IF(A996="","",EXP(-Inputs!$C$7*A996))</f>
        <v/>
      </c>
      <c r="D996" s="22" t="str">
        <f t="shared" si="1"/>
        <v/>
      </c>
      <c r="E996" s="22" t="str">
        <f>IF(A996="","",Inputs!$C$6*D996)</f>
        <v/>
      </c>
    </row>
    <row r="997">
      <c r="A997" s="18" t="str">
        <f>'Cashflow Schedule'!B997</f>
        <v/>
      </c>
      <c r="B997" s="18" t="str">
        <f>'Cashflow Schedule'!E997</f>
        <v/>
      </c>
      <c r="C997" s="21" t="str">
        <f>IF(A997="","",EXP(-Inputs!$C$7*A997))</f>
        <v/>
      </c>
      <c r="D997" s="22" t="str">
        <f t="shared" si="1"/>
        <v/>
      </c>
      <c r="E997" s="22" t="str">
        <f>IF(A997="","",Inputs!$C$6*D997)</f>
        <v/>
      </c>
    </row>
    <row r="998">
      <c r="A998" s="18" t="str">
        <f>'Cashflow Schedule'!B998</f>
        <v/>
      </c>
      <c r="B998" s="18" t="str">
        <f>'Cashflow Schedule'!E998</f>
        <v/>
      </c>
      <c r="C998" s="21" t="str">
        <f>IF(A998="","",EXP(-Inputs!$C$7*A998))</f>
        <v/>
      </c>
      <c r="D998" s="22" t="str">
        <f t="shared" si="1"/>
        <v/>
      </c>
      <c r="E998" s="22" t="str">
        <f>IF(A998="","",Inputs!$C$6*D998)</f>
        <v/>
      </c>
    </row>
    <row r="999">
      <c r="A999" s="18" t="str">
        <f>'Cashflow Schedule'!B999</f>
        <v/>
      </c>
      <c r="B999" s="18" t="str">
        <f>'Cashflow Schedule'!E999</f>
        <v/>
      </c>
      <c r="C999" s="21" t="str">
        <f>IF(A999="","",EXP(-Inputs!$C$7*A999))</f>
        <v/>
      </c>
      <c r="D999" s="22" t="str">
        <f t="shared" si="1"/>
        <v/>
      </c>
      <c r="E999" s="22" t="str">
        <f>IF(A999="","",Inputs!$C$6*D999)</f>
        <v/>
      </c>
    </row>
    <row r="1000">
      <c r="A1000" s="18" t="str">
        <f>'Cashflow Schedule'!B1000</f>
        <v/>
      </c>
      <c r="B1000" s="18" t="str">
        <f>'Cashflow Schedule'!E1000</f>
        <v/>
      </c>
      <c r="C1000" s="21" t="str">
        <f>IF(A1000="","",EXP(-Inputs!$C$7*A1000))</f>
        <v/>
      </c>
      <c r="D1000" s="22" t="str">
        <f t="shared" si="1"/>
        <v/>
      </c>
      <c r="E1000" s="22" t="str">
        <f>IF(A1000="","",Inputs!$C$6*D1000)</f>
        <v/>
      </c>
    </row>
  </sheetData>
  <mergeCells count="1">
    <mergeCell ref="H4:I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7" t="s">
        <v>19</v>
      </c>
      <c r="B1" s="17" t="s">
        <v>14</v>
      </c>
      <c r="C1" s="20" t="s">
        <v>20</v>
      </c>
      <c r="D1" s="20" t="s">
        <v>21</v>
      </c>
      <c r="E1" s="19" t="s">
        <v>22</v>
      </c>
      <c r="F1" s="20" t="s">
        <v>17</v>
      </c>
    </row>
    <row r="2">
      <c r="A2" s="18">
        <f>'Cashflow Schedule'!B2</f>
        <v>1</v>
      </c>
      <c r="B2" s="18">
        <f>'Cashflow Schedule'!E2</f>
        <v>50000</v>
      </c>
      <c r="C2" s="22">
        <f>IF(A2="","",Inputs!$C$6*EXP((Inputs!$C$8-Inputs!$C$7)*A2))</f>
        <v>93.01954853</v>
      </c>
      <c r="D2" s="22">
        <f t="shared" ref="D2:D1000" si="1">IF(A2="","",B2*C2)</f>
        <v>4650977.427</v>
      </c>
      <c r="E2" s="21">
        <f>IF(A2="","",EXP(-Inputs!$C$8*A2))</f>
        <v>0.9342604736</v>
      </c>
      <c r="F2" s="22">
        <f t="shared" ref="F2:F1000" si="2">IF(A2="","",E2*D2)</f>
        <v>4345224.373</v>
      </c>
    </row>
    <row r="3">
      <c r="A3" s="18">
        <f>'Cashflow Schedule'!B3</f>
        <v>2</v>
      </c>
      <c r="B3" s="18">
        <f>'Cashflow Schedule'!E3</f>
        <v>1050000</v>
      </c>
      <c r="C3" s="22">
        <f>IF(A3="","",Inputs!$C$6*EXP((Inputs!$C$8-Inputs!$C$7)*A3))</f>
        <v>96.14040454</v>
      </c>
      <c r="D3" s="22">
        <f t="shared" si="1"/>
        <v>100947424.8</v>
      </c>
      <c r="E3" s="21">
        <f>IF(A3="","",EXP(-Inputs!$C$8*A3))</f>
        <v>0.8728426325</v>
      </c>
      <c r="F3" s="22">
        <f t="shared" si="2"/>
        <v>88111215.98</v>
      </c>
    </row>
    <row r="4">
      <c r="A4" s="18" t="str">
        <f>'Cashflow Schedule'!B4</f>
        <v/>
      </c>
      <c r="B4" s="18" t="str">
        <f>'Cashflow Schedule'!E4</f>
        <v/>
      </c>
      <c r="C4" s="22" t="str">
        <f>IF(A4="","",Inputs!$C$6*EXP((Inputs!$C$8-Inputs!$C$7)*A4))</f>
        <v/>
      </c>
      <c r="D4" s="22" t="str">
        <f t="shared" si="1"/>
        <v/>
      </c>
      <c r="E4" s="21" t="str">
        <f>IF(A4="","",EXP(-Inputs!$C$8*A4))</f>
        <v/>
      </c>
      <c r="F4" s="22" t="str">
        <f t="shared" si="2"/>
        <v/>
      </c>
    </row>
    <row r="5">
      <c r="A5" s="18" t="str">
        <f>'Cashflow Schedule'!B5</f>
        <v/>
      </c>
      <c r="B5" s="18" t="str">
        <f>'Cashflow Schedule'!E5</f>
        <v/>
      </c>
      <c r="C5" s="22" t="str">
        <f>IF(A5="","",Inputs!$C$6*EXP((Inputs!$C$8-Inputs!$C$7)*A5))</f>
        <v/>
      </c>
      <c r="D5" s="22" t="str">
        <f t="shared" si="1"/>
        <v/>
      </c>
      <c r="E5" s="21" t="str">
        <f>IF(A5="","",EXP(-Inputs!$C$8*A5))</f>
        <v/>
      </c>
      <c r="F5" s="22" t="str">
        <f t="shared" si="2"/>
        <v/>
      </c>
      <c r="H5" s="23" t="s">
        <v>18</v>
      </c>
      <c r="I5" s="24"/>
      <c r="J5" s="25">
        <f>SUM(F2:F1000)</f>
        <v>92456440.35</v>
      </c>
    </row>
    <row r="6">
      <c r="A6" s="18" t="str">
        <f>'Cashflow Schedule'!B6</f>
        <v/>
      </c>
      <c r="B6" s="18" t="str">
        <f>'Cashflow Schedule'!E6</f>
        <v/>
      </c>
      <c r="C6" s="22" t="str">
        <f>IF(A6="","",Inputs!$C$6*EXP((Inputs!$C$8-Inputs!$C$7)*A6))</f>
        <v/>
      </c>
      <c r="D6" s="22" t="str">
        <f t="shared" si="1"/>
        <v/>
      </c>
      <c r="E6" s="21" t="str">
        <f>IF(A6="","",EXP(-Inputs!$C$8*A6))</f>
        <v/>
      </c>
      <c r="F6" s="22" t="str">
        <f t="shared" si="2"/>
        <v/>
      </c>
    </row>
    <row r="7">
      <c r="A7" s="18" t="str">
        <f>'Cashflow Schedule'!B7</f>
        <v/>
      </c>
      <c r="B7" s="18" t="str">
        <f>'Cashflow Schedule'!E7</f>
        <v/>
      </c>
      <c r="C7" s="22" t="str">
        <f>IF(A7="","",Inputs!$C$6*EXP((Inputs!$C$8-Inputs!$C$7)*A7))</f>
        <v/>
      </c>
      <c r="D7" s="22" t="str">
        <f t="shared" si="1"/>
        <v/>
      </c>
      <c r="E7" s="21" t="str">
        <f>IF(A7="","",EXP(-Inputs!$C$8*A7))</f>
        <v/>
      </c>
      <c r="F7" s="22" t="str">
        <f t="shared" si="2"/>
        <v/>
      </c>
    </row>
    <row r="8">
      <c r="A8" s="18" t="str">
        <f>'Cashflow Schedule'!B8</f>
        <v/>
      </c>
      <c r="B8" s="18" t="str">
        <f>'Cashflow Schedule'!E8</f>
        <v/>
      </c>
      <c r="C8" s="22" t="str">
        <f>IF(A8="","",Inputs!$C$6*EXP((Inputs!$C$8-Inputs!$C$7)*A8))</f>
        <v/>
      </c>
      <c r="D8" s="22" t="str">
        <f t="shared" si="1"/>
        <v/>
      </c>
      <c r="E8" s="21" t="str">
        <f>IF(A8="","",EXP(-Inputs!$C$8*A8))</f>
        <v/>
      </c>
      <c r="F8" s="22" t="str">
        <f t="shared" si="2"/>
        <v/>
      </c>
    </row>
    <row r="9">
      <c r="A9" s="18" t="str">
        <f>'Cashflow Schedule'!B9</f>
        <v/>
      </c>
      <c r="B9" s="18" t="str">
        <f>'Cashflow Schedule'!E9</f>
        <v/>
      </c>
      <c r="C9" s="22" t="str">
        <f>IF(A9="","",Inputs!$C$6*EXP((Inputs!$C$8-Inputs!$C$7)*A9))</f>
        <v/>
      </c>
      <c r="D9" s="22" t="str">
        <f t="shared" si="1"/>
        <v/>
      </c>
      <c r="E9" s="21" t="str">
        <f>IF(A9="","",EXP(-Inputs!$C$8*A9))</f>
        <v/>
      </c>
      <c r="F9" s="22" t="str">
        <f t="shared" si="2"/>
        <v/>
      </c>
    </row>
    <row r="10">
      <c r="A10" s="18" t="str">
        <f>'Cashflow Schedule'!B10</f>
        <v/>
      </c>
      <c r="B10" s="18" t="str">
        <f>'Cashflow Schedule'!E10</f>
        <v/>
      </c>
      <c r="C10" s="22" t="str">
        <f>IF(A10="","",Inputs!$C$6*EXP((Inputs!$C$8-Inputs!$C$7)*A10))</f>
        <v/>
      </c>
      <c r="D10" s="22" t="str">
        <f t="shared" si="1"/>
        <v/>
      </c>
      <c r="E10" s="21" t="str">
        <f>IF(A10="","",EXP(-Inputs!$C$8*A10))</f>
        <v/>
      </c>
      <c r="F10" s="22" t="str">
        <f t="shared" si="2"/>
        <v/>
      </c>
    </row>
    <row r="11">
      <c r="A11" s="18" t="str">
        <f>'Cashflow Schedule'!B11</f>
        <v/>
      </c>
      <c r="B11" s="18" t="str">
        <f>'Cashflow Schedule'!E11</f>
        <v/>
      </c>
      <c r="C11" s="22" t="str">
        <f>IF(A11="","",Inputs!$C$6*EXP((Inputs!$C$8-Inputs!$C$7)*A11))</f>
        <v/>
      </c>
      <c r="D11" s="22" t="str">
        <f t="shared" si="1"/>
        <v/>
      </c>
      <c r="E11" s="21" t="str">
        <f>IF(A11="","",EXP(-Inputs!$C$8*A11))</f>
        <v/>
      </c>
      <c r="F11" s="22" t="str">
        <f t="shared" si="2"/>
        <v/>
      </c>
    </row>
    <row r="12">
      <c r="A12" s="18" t="str">
        <f>'Cashflow Schedule'!B12</f>
        <v/>
      </c>
      <c r="B12" s="18" t="str">
        <f>'Cashflow Schedule'!E12</f>
        <v/>
      </c>
      <c r="C12" s="22" t="str">
        <f>IF(A12="","",Inputs!$C$6*EXP((Inputs!$C$8-Inputs!$C$7)*A12))</f>
        <v/>
      </c>
      <c r="D12" s="22" t="str">
        <f t="shared" si="1"/>
        <v/>
      </c>
      <c r="E12" s="21" t="str">
        <f>IF(A12="","",EXP(-Inputs!$C$8*A12))</f>
        <v/>
      </c>
      <c r="F12" s="22" t="str">
        <f t="shared" si="2"/>
        <v/>
      </c>
    </row>
    <row r="13">
      <c r="A13" s="18" t="str">
        <f>'Cashflow Schedule'!B13</f>
        <v/>
      </c>
      <c r="B13" s="18" t="str">
        <f>'Cashflow Schedule'!E13</f>
        <v/>
      </c>
      <c r="C13" s="22" t="str">
        <f>IF(A13="","",Inputs!$C$6*EXP((Inputs!$C$8-Inputs!$C$7)*A13))</f>
        <v/>
      </c>
      <c r="D13" s="22" t="str">
        <f t="shared" si="1"/>
        <v/>
      </c>
      <c r="E13" s="21" t="str">
        <f>IF(A13="","",EXP(-Inputs!$C$8*A13))</f>
        <v/>
      </c>
      <c r="F13" s="22" t="str">
        <f t="shared" si="2"/>
        <v/>
      </c>
    </row>
    <row r="14">
      <c r="A14" s="18" t="str">
        <f>'Cashflow Schedule'!B14</f>
        <v/>
      </c>
      <c r="B14" s="18" t="str">
        <f>'Cashflow Schedule'!E14</f>
        <v/>
      </c>
      <c r="C14" s="22" t="str">
        <f>IF(A14="","",Inputs!$C$6*EXP((Inputs!$C$8-Inputs!$C$7)*A14))</f>
        <v/>
      </c>
      <c r="D14" s="22" t="str">
        <f t="shared" si="1"/>
        <v/>
      </c>
      <c r="E14" s="21" t="str">
        <f>IF(A14="","",EXP(-Inputs!$C$8*A14))</f>
        <v/>
      </c>
      <c r="F14" s="22" t="str">
        <f t="shared" si="2"/>
        <v/>
      </c>
    </row>
    <row r="15">
      <c r="A15" s="18" t="str">
        <f>'Cashflow Schedule'!B15</f>
        <v/>
      </c>
      <c r="B15" s="18" t="str">
        <f>'Cashflow Schedule'!E15</f>
        <v/>
      </c>
      <c r="C15" s="22" t="str">
        <f>IF(A15="","",Inputs!$C$6*EXP((Inputs!$C$8-Inputs!$C$7)*A15))</f>
        <v/>
      </c>
      <c r="D15" s="22" t="str">
        <f t="shared" si="1"/>
        <v/>
      </c>
      <c r="E15" s="21" t="str">
        <f>IF(A15="","",EXP(-Inputs!$C$8*A15))</f>
        <v/>
      </c>
      <c r="F15" s="22" t="str">
        <f t="shared" si="2"/>
        <v/>
      </c>
    </row>
    <row r="16">
      <c r="A16" s="18" t="str">
        <f>'Cashflow Schedule'!B16</f>
        <v/>
      </c>
      <c r="B16" s="18" t="str">
        <f>'Cashflow Schedule'!E16</f>
        <v/>
      </c>
      <c r="C16" s="22" t="str">
        <f>IF(A16="","",Inputs!$C$6*EXP((Inputs!$C$8-Inputs!$C$7)*A16))</f>
        <v/>
      </c>
      <c r="D16" s="22" t="str">
        <f t="shared" si="1"/>
        <v/>
      </c>
      <c r="E16" s="21" t="str">
        <f>IF(A16="","",EXP(-Inputs!$C$8*A16))</f>
        <v/>
      </c>
      <c r="F16" s="22" t="str">
        <f t="shared" si="2"/>
        <v/>
      </c>
    </row>
    <row r="17">
      <c r="A17" s="18" t="str">
        <f>'Cashflow Schedule'!B17</f>
        <v/>
      </c>
      <c r="B17" s="18" t="str">
        <f>'Cashflow Schedule'!E17</f>
        <v/>
      </c>
      <c r="C17" s="22" t="str">
        <f>IF(A17="","",Inputs!$C$6*EXP((Inputs!$C$8-Inputs!$C$7)*A17))</f>
        <v/>
      </c>
      <c r="D17" s="22" t="str">
        <f t="shared" si="1"/>
        <v/>
      </c>
      <c r="E17" s="21" t="str">
        <f>IF(A17="","",EXP(-Inputs!$C$8*A17))</f>
        <v/>
      </c>
      <c r="F17" s="22" t="str">
        <f t="shared" si="2"/>
        <v/>
      </c>
    </row>
    <row r="18">
      <c r="A18" s="18" t="str">
        <f>'Cashflow Schedule'!B18</f>
        <v/>
      </c>
      <c r="B18" s="18" t="str">
        <f>'Cashflow Schedule'!E18</f>
        <v/>
      </c>
      <c r="C18" s="22" t="str">
        <f>IF(A18="","",Inputs!$C$6*EXP((Inputs!$C$8-Inputs!$C$7)*A18))</f>
        <v/>
      </c>
      <c r="D18" s="22" t="str">
        <f t="shared" si="1"/>
        <v/>
      </c>
      <c r="E18" s="21" t="str">
        <f>IF(A18="","",EXP(-Inputs!$C$8*A18))</f>
        <v/>
      </c>
      <c r="F18" s="22" t="str">
        <f t="shared" si="2"/>
        <v/>
      </c>
    </row>
    <row r="19">
      <c r="A19" s="18" t="str">
        <f>'Cashflow Schedule'!B19</f>
        <v/>
      </c>
      <c r="B19" s="18" t="str">
        <f>'Cashflow Schedule'!E19</f>
        <v/>
      </c>
      <c r="C19" s="22" t="str">
        <f>IF(A19="","",Inputs!$C$6*EXP((Inputs!$C$8-Inputs!$C$7)*A19))</f>
        <v/>
      </c>
      <c r="D19" s="22" t="str">
        <f t="shared" si="1"/>
        <v/>
      </c>
      <c r="E19" s="21" t="str">
        <f>IF(A19="","",EXP(-Inputs!$C$8*A19))</f>
        <v/>
      </c>
      <c r="F19" s="22" t="str">
        <f t="shared" si="2"/>
        <v/>
      </c>
    </row>
    <row r="20">
      <c r="A20" s="18" t="str">
        <f>'Cashflow Schedule'!B20</f>
        <v/>
      </c>
      <c r="B20" s="18" t="str">
        <f>'Cashflow Schedule'!E20</f>
        <v/>
      </c>
      <c r="C20" s="22" t="str">
        <f>IF(A20="","",Inputs!$C$6*EXP((Inputs!$C$8-Inputs!$C$7)*A20))</f>
        <v/>
      </c>
      <c r="D20" s="22" t="str">
        <f t="shared" si="1"/>
        <v/>
      </c>
      <c r="E20" s="21" t="str">
        <f>IF(A20="","",EXP(-Inputs!$C$8*A20))</f>
        <v/>
      </c>
      <c r="F20" s="22" t="str">
        <f t="shared" si="2"/>
        <v/>
      </c>
    </row>
    <row r="21">
      <c r="A21" s="18" t="str">
        <f>'Cashflow Schedule'!B21</f>
        <v/>
      </c>
      <c r="B21" s="18" t="str">
        <f>'Cashflow Schedule'!E21</f>
        <v/>
      </c>
      <c r="C21" s="22" t="str">
        <f>IF(A21="","",Inputs!$C$6*EXP((Inputs!$C$8-Inputs!$C$7)*A21))</f>
        <v/>
      </c>
      <c r="D21" s="22" t="str">
        <f t="shared" si="1"/>
        <v/>
      </c>
      <c r="E21" s="21" t="str">
        <f>IF(A21="","",EXP(-Inputs!$C$8*A21))</f>
        <v/>
      </c>
      <c r="F21" s="22" t="str">
        <f t="shared" si="2"/>
        <v/>
      </c>
    </row>
    <row r="22">
      <c r="A22" s="18" t="str">
        <f>'Cashflow Schedule'!B22</f>
        <v/>
      </c>
      <c r="B22" s="18" t="str">
        <f>'Cashflow Schedule'!E22</f>
        <v/>
      </c>
      <c r="C22" s="22" t="str">
        <f>IF(A22="","",Inputs!$C$6*EXP((Inputs!$C$8-Inputs!$C$7)*A22))</f>
        <v/>
      </c>
      <c r="D22" s="22" t="str">
        <f t="shared" si="1"/>
        <v/>
      </c>
      <c r="E22" s="21" t="str">
        <f>IF(A22="","",EXP(-Inputs!$C$8*A22))</f>
        <v/>
      </c>
      <c r="F22" s="22" t="str">
        <f t="shared" si="2"/>
        <v/>
      </c>
    </row>
    <row r="23">
      <c r="A23" s="18" t="str">
        <f>'Cashflow Schedule'!B23</f>
        <v/>
      </c>
      <c r="B23" s="18" t="str">
        <f>'Cashflow Schedule'!E23</f>
        <v/>
      </c>
      <c r="C23" s="22" t="str">
        <f>IF(A23="","",Inputs!$C$6*EXP((Inputs!$C$8-Inputs!$C$7)*A23))</f>
        <v/>
      </c>
      <c r="D23" s="22" t="str">
        <f t="shared" si="1"/>
        <v/>
      </c>
      <c r="E23" s="21" t="str">
        <f>IF(A23="","",EXP(-Inputs!$C$8*A23))</f>
        <v/>
      </c>
      <c r="F23" s="22" t="str">
        <f t="shared" si="2"/>
        <v/>
      </c>
    </row>
    <row r="24">
      <c r="A24" s="18" t="str">
        <f>'Cashflow Schedule'!B24</f>
        <v/>
      </c>
      <c r="B24" s="18" t="str">
        <f>'Cashflow Schedule'!E24</f>
        <v/>
      </c>
      <c r="C24" s="22" t="str">
        <f>IF(A24="","",Inputs!$C$6*EXP((Inputs!$C$8-Inputs!$C$7)*A24))</f>
        <v/>
      </c>
      <c r="D24" s="22" t="str">
        <f t="shared" si="1"/>
        <v/>
      </c>
      <c r="E24" s="21" t="str">
        <f>IF(A24="","",EXP(-Inputs!$C$8*A24))</f>
        <v/>
      </c>
      <c r="F24" s="22" t="str">
        <f t="shared" si="2"/>
        <v/>
      </c>
    </row>
    <row r="25">
      <c r="A25" s="18" t="str">
        <f>'Cashflow Schedule'!B25</f>
        <v/>
      </c>
      <c r="B25" s="18" t="str">
        <f>'Cashflow Schedule'!E25</f>
        <v/>
      </c>
      <c r="C25" s="22" t="str">
        <f>IF(A25="","",Inputs!$C$6*EXP((Inputs!$C$8-Inputs!$C$7)*A25))</f>
        <v/>
      </c>
      <c r="D25" s="22" t="str">
        <f t="shared" si="1"/>
        <v/>
      </c>
      <c r="E25" s="21" t="str">
        <f>IF(A25="","",EXP(-Inputs!$C$8*A25))</f>
        <v/>
      </c>
      <c r="F25" s="22" t="str">
        <f t="shared" si="2"/>
        <v/>
      </c>
    </row>
    <row r="26">
      <c r="A26" s="18" t="str">
        <f>'Cashflow Schedule'!B26</f>
        <v/>
      </c>
      <c r="B26" s="18" t="str">
        <f>'Cashflow Schedule'!E26</f>
        <v/>
      </c>
      <c r="C26" s="22" t="str">
        <f>IF(A26="","",Inputs!$C$6*EXP((Inputs!$C$8-Inputs!$C$7)*A26))</f>
        <v/>
      </c>
      <c r="D26" s="22" t="str">
        <f t="shared" si="1"/>
        <v/>
      </c>
      <c r="E26" s="21" t="str">
        <f>IF(A26="","",EXP(-Inputs!$C$8*A26))</f>
        <v/>
      </c>
      <c r="F26" s="22" t="str">
        <f t="shared" si="2"/>
        <v/>
      </c>
    </row>
    <row r="27">
      <c r="A27" s="18" t="str">
        <f>'Cashflow Schedule'!B27</f>
        <v/>
      </c>
      <c r="B27" s="18" t="str">
        <f>'Cashflow Schedule'!E27</f>
        <v/>
      </c>
      <c r="C27" s="22" t="str">
        <f>IF(A27="","",Inputs!$C$6*EXP((Inputs!$C$8-Inputs!$C$7)*A27))</f>
        <v/>
      </c>
      <c r="D27" s="22" t="str">
        <f t="shared" si="1"/>
        <v/>
      </c>
      <c r="E27" s="21" t="str">
        <f>IF(A27="","",EXP(-Inputs!$C$8*A27))</f>
        <v/>
      </c>
      <c r="F27" s="22" t="str">
        <f t="shared" si="2"/>
        <v/>
      </c>
    </row>
    <row r="28">
      <c r="A28" s="18" t="str">
        <f>'Cashflow Schedule'!B28</f>
        <v/>
      </c>
      <c r="B28" s="18" t="str">
        <f>'Cashflow Schedule'!E28</f>
        <v/>
      </c>
      <c r="C28" s="22" t="str">
        <f>IF(A28="","",Inputs!$C$6*EXP((Inputs!$C$8-Inputs!$C$7)*A28))</f>
        <v/>
      </c>
      <c r="D28" s="22" t="str">
        <f t="shared" si="1"/>
        <v/>
      </c>
      <c r="E28" s="21" t="str">
        <f>IF(A28="","",EXP(-Inputs!$C$8*A28))</f>
        <v/>
      </c>
      <c r="F28" s="22" t="str">
        <f t="shared" si="2"/>
        <v/>
      </c>
    </row>
    <row r="29">
      <c r="A29" s="18" t="str">
        <f>'Cashflow Schedule'!B29</f>
        <v/>
      </c>
      <c r="B29" s="18" t="str">
        <f>'Cashflow Schedule'!E29</f>
        <v/>
      </c>
      <c r="C29" s="22" t="str">
        <f>IF(A29="","",Inputs!$C$6*EXP((Inputs!$C$8-Inputs!$C$7)*A29))</f>
        <v/>
      </c>
      <c r="D29" s="22" t="str">
        <f t="shared" si="1"/>
        <v/>
      </c>
      <c r="E29" s="21" t="str">
        <f>IF(A29="","",EXP(-Inputs!$C$8*A29))</f>
        <v/>
      </c>
      <c r="F29" s="22" t="str">
        <f t="shared" si="2"/>
        <v/>
      </c>
    </row>
    <row r="30">
      <c r="A30" s="18" t="str">
        <f>'Cashflow Schedule'!B30</f>
        <v/>
      </c>
      <c r="B30" s="18" t="str">
        <f>'Cashflow Schedule'!E30</f>
        <v/>
      </c>
      <c r="C30" s="22" t="str">
        <f>IF(A30="","",Inputs!$C$6*EXP((Inputs!$C$8-Inputs!$C$7)*A30))</f>
        <v/>
      </c>
      <c r="D30" s="22" t="str">
        <f t="shared" si="1"/>
        <v/>
      </c>
      <c r="E30" s="21" t="str">
        <f>IF(A30="","",EXP(-Inputs!$C$8*A30))</f>
        <v/>
      </c>
      <c r="F30" s="22" t="str">
        <f t="shared" si="2"/>
        <v/>
      </c>
    </row>
    <row r="31">
      <c r="A31" s="18" t="str">
        <f>'Cashflow Schedule'!B31</f>
        <v/>
      </c>
      <c r="B31" s="18" t="str">
        <f>'Cashflow Schedule'!E31</f>
        <v/>
      </c>
      <c r="C31" s="22" t="str">
        <f>IF(A31="","",Inputs!$C$6*EXP((Inputs!$C$8-Inputs!$C$7)*A31))</f>
        <v/>
      </c>
      <c r="D31" s="22" t="str">
        <f t="shared" si="1"/>
        <v/>
      </c>
      <c r="E31" s="21" t="str">
        <f>IF(A31="","",EXP(-Inputs!$C$8*A31))</f>
        <v/>
      </c>
      <c r="F31" s="22" t="str">
        <f t="shared" si="2"/>
        <v/>
      </c>
    </row>
    <row r="32">
      <c r="A32" s="18" t="str">
        <f>'Cashflow Schedule'!B32</f>
        <v/>
      </c>
      <c r="B32" s="18" t="str">
        <f>'Cashflow Schedule'!E32</f>
        <v/>
      </c>
      <c r="C32" s="22" t="str">
        <f>IF(A32="","",Inputs!$C$6*EXP((Inputs!$C$8-Inputs!$C$7)*A32))</f>
        <v/>
      </c>
      <c r="D32" s="22" t="str">
        <f t="shared" si="1"/>
        <v/>
      </c>
      <c r="E32" s="21" t="str">
        <f>IF(A32="","",EXP(-Inputs!$C$8*A32))</f>
        <v/>
      </c>
      <c r="F32" s="22" t="str">
        <f t="shared" si="2"/>
        <v/>
      </c>
    </row>
    <row r="33">
      <c r="A33" s="18" t="str">
        <f>'Cashflow Schedule'!B33</f>
        <v/>
      </c>
      <c r="B33" s="18" t="str">
        <f>'Cashflow Schedule'!E33</f>
        <v/>
      </c>
      <c r="C33" s="22" t="str">
        <f>IF(A33="","",Inputs!$C$6*EXP((Inputs!$C$8-Inputs!$C$7)*A33))</f>
        <v/>
      </c>
      <c r="D33" s="22" t="str">
        <f t="shared" si="1"/>
        <v/>
      </c>
      <c r="E33" s="21" t="str">
        <f>IF(A33="","",EXP(-Inputs!$C$8*A33))</f>
        <v/>
      </c>
      <c r="F33" s="22" t="str">
        <f t="shared" si="2"/>
        <v/>
      </c>
    </row>
    <row r="34">
      <c r="A34" s="18" t="str">
        <f>'Cashflow Schedule'!B34</f>
        <v/>
      </c>
      <c r="B34" s="18" t="str">
        <f>'Cashflow Schedule'!E34</f>
        <v/>
      </c>
      <c r="C34" s="22" t="str">
        <f>IF(A34="","",Inputs!$C$6*EXP((Inputs!$C$8-Inputs!$C$7)*A34))</f>
        <v/>
      </c>
      <c r="D34" s="22" t="str">
        <f t="shared" si="1"/>
        <v/>
      </c>
      <c r="E34" s="21" t="str">
        <f>IF(A34="","",EXP(-Inputs!$C$8*A34))</f>
        <v/>
      </c>
      <c r="F34" s="22" t="str">
        <f t="shared" si="2"/>
        <v/>
      </c>
    </row>
    <row r="35">
      <c r="A35" s="18" t="str">
        <f>'Cashflow Schedule'!B35</f>
        <v/>
      </c>
      <c r="B35" s="18" t="str">
        <f>'Cashflow Schedule'!E35</f>
        <v/>
      </c>
      <c r="C35" s="22" t="str">
        <f>IF(A35="","",Inputs!$C$6*EXP((Inputs!$C$8-Inputs!$C$7)*A35))</f>
        <v/>
      </c>
      <c r="D35" s="22" t="str">
        <f t="shared" si="1"/>
        <v/>
      </c>
      <c r="E35" s="21" t="str">
        <f>IF(A35="","",EXP(-Inputs!$C$8*A35))</f>
        <v/>
      </c>
      <c r="F35" s="22" t="str">
        <f t="shared" si="2"/>
        <v/>
      </c>
    </row>
    <row r="36">
      <c r="A36" s="18" t="str">
        <f>'Cashflow Schedule'!B36</f>
        <v/>
      </c>
      <c r="B36" s="18" t="str">
        <f>'Cashflow Schedule'!E36</f>
        <v/>
      </c>
      <c r="C36" s="22" t="str">
        <f>IF(A36="","",Inputs!$C$6*EXP((Inputs!$C$8-Inputs!$C$7)*A36))</f>
        <v/>
      </c>
      <c r="D36" s="22" t="str">
        <f t="shared" si="1"/>
        <v/>
      </c>
      <c r="E36" s="21" t="str">
        <f>IF(A36="","",EXP(-Inputs!$C$8*A36))</f>
        <v/>
      </c>
      <c r="F36" s="22" t="str">
        <f t="shared" si="2"/>
        <v/>
      </c>
    </row>
    <row r="37">
      <c r="A37" s="18" t="str">
        <f>'Cashflow Schedule'!B37</f>
        <v/>
      </c>
      <c r="B37" s="18" t="str">
        <f>'Cashflow Schedule'!E37</f>
        <v/>
      </c>
      <c r="C37" s="22" t="str">
        <f>IF(A37="","",Inputs!$C$6*EXP((Inputs!$C$8-Inputs!$C$7)*A37))</f>
        <v/>
      </c>
      <c r="D37" s="22" t="str">
        <f t="shared" si="1"/>
        <v/>
      </c>
      <c r="E37" s="21" t="str">
        <f>IF(A37="","",EXP(-Inputs!$C$8*A37))</f>
        <v/>
      </c>
      <c r="F37" s="22" t="str">
        <f t="shared" si="2"/>
        <v/>
      </c>
    </row>
    <row r="38">
      <c r="A38" s="18" t="str">
        <f>'Cashflow Schedule'!B38</f>
        <v/>
      </c>
      <c r="B38" s="18" t="str">
        <f>'Cashflow Schedule'!E38</f>
        <v/>
      </c>
      <c r="C38" s="22" t="str">
        <f>IF(A38="","",Inputs!$C$6*EXP((Inputs!$C$8-Inputs!$C$7)*A38))</f>
        <v/>
      </c>
      <c r="D38" s="22" t="str">
        <f t="shared" si="1"/>
        <v/>
      </c>
      <c r="E38" s="21" t="str">
        <f>IF(A38="","",EXP(-Inputs!$C$8*A38))</f>
        <v/>
      </c>
      <c r="F38" s="22" t="str">
        <f t="shared" si="2"/>
        <v/>
      </c>
    </row>
    <row r="39">
      <c r="A39" s="18" t="str">
        <f>'Cashflow Schedule'!B39</f>
        <v/>
      </c>
      <c r="B39" s="18" t="str">
        <f>'Cashflow Schedule'!E39</f>
        <v/>
      </c>
      <c r="C39" s="22" t="str">
        <f>IF(A39="","",Inputs!$C$6*EXP((Inputs!$C$8-Inputs!$C$7)*A39))</f>
        <v/>
      </c>
      <c r="D39" s="22" t="str">
        <f t="shared" si="1"/>
        <v/>
      </c>
      <c r="E39" s="21" t="str">
        <f>IF(A39="","",EXP(-Inputs!$C$8*A39))</f>
        <v/>
      </c>
      <c r="F39" s="22" t="str">
        <f t="shared" si="2"/>
        <v/>
      </c>
    </row>
    <row r="40">
      <c r="A40" s="18" t="str">
        <f>'Cashflow Schedule'!B40</f>
        <v/>
      </c>
      <c r="B40" s="18" t="str">
        <f>'Cashflow Schedule'!E40</f>
        <v/>
      </c>
      <c r="C40" s="22" t="str">
        <f>IF(A40="","",Inputs!$C$6*EXP((Inputs!$C$8-Inputs!$C$7)*A40))</f>
        <v/>
      </c>
      <c r="D40" s="22" t="str">
        <f t="shared" si="1"/>
        <v/>
      </c>
      <c r="E40" s="21" t="str">
        <f>IF(A40="","",EXP(-Inputs!$C$8*A40))</f>
        <v/>
      </c>
      <c r="F40" s="22" t="str">
        <f t="shared" si="2"/>
        <v/>
      </c>
    </row>
    <row r="41">
      <c r="A41" s="18" t="str">
        <f>'Cashflow Schedule'!B41</f>
        <v/>
      </c>
      <c r="B41" s="18" t="str">
        <f>'Cashflow Schedule'!E41</f>
        <v/>
      </c>
      <c r="C41" s="22" t="str">
        <f>IF(A41="","",Inputs!$C$6*EXP((Inputs!$C$8-Inputs!$C$7)*A41))</f>
        <v/>
      </c>
      <c r="D41" s="22" t="str">
        <f t="shared" si="1"/>
        <v/>
      </c>
      <c r="E41" s="21" t="str">
        <f>IF(A41="","",EXP(-Inputs!$C$8*A41))</f>
        <v/>
      </c>
      <c r="F41" s="22" t="str">
        <f t="shared" si="2"/>
        <v/>
      </c>
    </row>
    <row r="42">
      <c r="A42" s="18" t="str">
        <f>'Cashflow Schedule'!B42</f>
        <v/>
      </c>
      <c r="B42" s="18" t="str">
        <f>'Cashflow Schedule'!E42</f>
        <v/>
      </c>
      <c r="C42" s="22" t="str">
        <f>IF(A42="","",Inputs!$C$6*EXP((Inputs!$C$8-Inputs!$C$7)*A42))</f>
        <v/>
      </c>
      <c r="D42" s="22" t="str">
        <f t="shared" si="1"/>
        <v/>
      </c>
      <c r="E42" s="21" t="str">
        <f>IF(A42="","",EXP(-Inputs!$C$8*A42))</f>
        <v/>
      </c>
      <c r="F42" s="22" t="str">
        <f t="shared" si="2"/>
        <v/>
      </c>
    </row>
    <row r="43">
      <c r="A43" s="18" t="str">
        <f>'Cashflow Schedule'!B43</f>
        <v/>
      </c>
      <c r="B43" s="18" t="str">
        <f>'Cashflow Schedule'!E43</f>
        <v/>
      </c>
      <c r="C43" s="22" t="str">
        <f>IF(A43="","",Inputs!$C$6*EXP((Inputs!$C$8-Inputs!$C$7)*A43))</f>
        <v/>
      </c>
      <c r="D43" s="22" t="str">
        <f t="shared" si="1"/>
        <v/>
      </c>
      <c r="E43" s="21" t="str">
        <f>IF(A43="","",EXP(-Inputs!$C$8*A43))</f>
        <v/>
      </c>
      <c r="F43" s="22" t="str">
        <f t="shared" si="2"/>
        <v/>
      </c>
    </row>
    <row r="44">
      <c r="A44" s="18" t="str">
        <f>'Cashflow Schedule'!B44</f>
        <v/>
      </c>
      <c r="B44" s="18" t="str">
        <f>'Cashflow Schedule'!E44</f>
        <v/>
      </c>
      <c r="C44" s="22" t="str">
        <f>IF(A44="","",Inputs!$C$6*EXP((Inputs!$C$8-Inputs!$C$7)*A44))</f>
        <v/>
      </c>
      <c r="D44" s="22" t="str">
        <f t="shared" si="1"/>
        <v/>
      </c>
      <c r="E44" s="21" t="str">
        <f>IF(A44="","",EXP(-Inputs!$C$8*A44))</f>
        <v/>
      </c>
      <c r="F44" s="22" t="str">
        <f t="shared" si="2"/>
        <v/>
      </c>
    </row>
    <row r="45">
      <c r="A45" s="18" t="str">
        <f>'Cashflow Schedule'!B45</f>
        <v/>
      </c>
      <c r="B45" s="18" t="str">
        <f>'Cashflow Schedule'!E45</f>
        <v/>
      </c>
      <c r="C45" s="22" t="str">
        <f>IF(A45="","",Inputs!$C$6*EXP((Inputs!$C$8-Inputs!$C$7)*A45))</f>
        <v/>
      </c>
      <c r="D45" s="22" t="str">
        <f t="shared" si="1"/>
        <v/>
      </c>
      <c r="E45" s="21" t="str">
        <f>IF(A45="","",EXP(-Inputs!$C$8*A45))</f>
        <v/>
      </c>
      <c r="F45" s="22" t="str">
        <f t="shared" si="2"/>
        <v/>
      </c>
    </row>
    <row r="46">
      <c r="A46" s="18" t="str">
        <f>'Cashflow Schedule'!B46</f>
        <v/>
      </c>
      <c r="B46" s="18" t="str">
        <f>'Cashflow Schedule'!E46</f>
        <v/>
      </c>
      <c r="C46" s="22" t="str">
        <f>IF(A46="","",Inputs!$C$6*EXP((Inputs!$C$8-Inputs!$C$7)*A46))</f>
        <v/>
      </c>
      <c r="D46" s="22" t="str">
        <f t="shared" si="1"/>
        <v/>
      </c>
      <c r="E46" s="21" t="str">
        <f>IF(A46="","",EXP(-Inputs!$C$8*A46))</f>
        <v/>
      </c>
      <c r="F46" s="22" t="str">
        <f t="shared" si="2"/>
        <v/>
      </c>
    </row>
    <row r="47">
      <c r="A47" s="18" t="str">
        <f>'Cashflow Schedule'!B47</f>
        <v/>
      </c>
      <c r="B47" s="18" t="str">
        <f>'Cashflow Schedule'!E47</f>
        <v/>
      </c>
      <c r="C47" s="22" t="str">
        <f>IF(A47="","",Inputs!$C$6*EXP((Inputs!$C$8-Inputs!$C$7)*A47))</f>
        <v/>
      </c>
      <c r="D47" s="22" t="str">
        <f t="shared" si="1"/>
        <v/>
      </c>
      <c r="E47" s="21" t="str">
        <f>IF(A47="","",EXP(-Inputs!$C$8*A47))</f>
        <v/>
      </c>
      <c r="F47" s="22" t="str">
        <f t="shared" si="2"/>
        <v/>
      </c>
    </row>
    <row r="48">
      <c r="A48" s="18" t="str">
        <f>'Cashflow Schedule'!B48</f>
        <v/>
      </c>
      <c r="B48" s="18" t="str">
        <f>'Cashflow Schedule'!E48</f>
        <v/>
      </c>
      <c r="C48" s="22" t="str">
        <f>IF(A48="","",Inputs!$C$6*EXP((Inputs!$C$8-Inputs!$C$7)*A48))</f>
        <v/>
      </c>
      <c r="D48" s="22" t="str">
        <f t="shared" si="1"/>
        <v/>
      </c>
      <c r="E48" s="21" t="str">
        <f>IF(A48="","",EXP(-Inputs!$C$8*A48))</f>
        <v/>
      </c>
      <c r="F48" s="22" t="str">
        <f t="shared" si="2"/>
        <v/>
      </c>
    </row>
    <row r="49">
      <c r="A49" s="18" t="str">
        <f>'Cashflow Schedule'!B49</f>
        <v/>
      </c>
      <c r="B49" s="18" t="str">
        <f>'Cashflow Schedule'!E49</f>
        <v/>
      </c>
      <c r="C49" s="22" t="str">
        <f>IF(A49="","",Inputs!$C$6*EXP((Inputs!$C$8-Inputs!$C$7)*A49))</f>
        <v/>
      </c>
      <c r="D49" s="22" t="str">
        <f t="shared" si="1"/>
        <v/>
      </c>
      <c r="E49" s="21" t="str">
        <f>IF(A49="","",EXP(-Inputs!$C$8*A49))</f>
        <v/>
      </c>
      <c r="F49" s="22" t="str">
        <f t="shared" si="2"/>
        <v/>
      </c>
    </row>
    <row r="50">
      <c r="A50" s="18" t="str">
        <f>'Cashflow Schedule'!B50</f>
        <v/>
      </c>
      <c r="B50" s="18" t="str">
        <f>'Cashflow Schedule'!E50</f>
        <v/>
      </c>
      <c r="C50" s="22" t="str">
        <f>IF(A50="","",Inputs!$C$6*EXP((Inputs!$C$8-Inputs!$C$7)*A50))</f>
        <v/>
      </c>
      <c r="D50" s="22" t="str">
        <f t="shared" si="1"/>
        <v/>
      </c>
      <c r="E50" s="21" t="str">
        <f>IF(A50="","",EXP(-Inputs!$C$8*A50))</f>
        <v/>
      </c>
      <c r="F50" s="22" t="str">
        <f t="shared" si="2"/>
        <v/>
      </c>
    </row>
    <row r="51">
      <c r="A51" s="18" t="str">
        <f>'Cashflow Schedule'!B51</f>
        <v/>
      </c>
      <c r="B51" s="18" t="str">
        <f>'Cashflow Schedule'!E51</f>
        <v/>
      </c>
      <c r="C51" s="22" t="str">
        <f>IF(A51="","",Inputs!$C$6*EXP((Inputs!$C$8-Inputs!$C$7)*A51))</f>
        <v/>
      </c>
      <c r="D51" s="22" t="str">
        <f t="shared" si="1"/>
        <v/>
      </c>
      <c r="E51" s="21" t="str">
        <f>IF(A51="","",EXP(-Inputs!$C$8*A51))</f>
        <v/>
      </c>
      <c r="F51" s="22" t="str">
        <f t="shared" si="2"/>
        <v/>
      </c>
    </row>
    <row r="52">
      <c r="A52" s="18" t="str">
        <f>'Cashflow Schedule'!B52</f>
        <v/>
      </c>
      <c r="B52" s="18" t="str">
        <f>'Cashflow Schedule'!E52</f>
        <v/>
      </c>
      <c r="C52" s="22" t="str">
        <f>IF(A52="","",Inputs!$C$6*EXP((Inputs!$C$8-Inputs!$C$7)*A52))</f>
        <v/>
      </c>
      <c r="D52" s="22" t="str">
        <f t="shared" si="1"/>
        <v/>
      </c>
      <c r="E52" s="21" t="str">
        <f>IF(A52="","",EXP(-Inputs!$C$8*A52))</f>
        <v/>
      </c>
      <c r="F52" s="22" t="str">
        <f t="shared" si="2"/>
        <v/>
      </c>
    </row>
    <row r="53">
      <c r="A53" s="18" t="str">
        <f>'Cashflow Schedule'!B53</f>
        <v/>
      </c>
      <c r="B53" s="18" t="str">
        <f>'Cashflow Schedule'!E53</f>
        <v/>
      </c>
      <c r="C53" s="22" t="str">
        <f>IF(A53="","",Inputs!$C$6*EXP((Inputs!$C$8-Inputs!$C$7)*A53))</f>
        <v/>
      </c>
      <c r="D53" s="22" t="str">
        <f t="shared" si="1"/>
        <v/>
      </c>
      <c r="E53" s="21" t="str">
        <f>IF(A53="","",EXP(-Inputs!$C$8*A53))</f>
        <v/>
      </c>
      <c r="F53" s="22" t="str">
        <f t="shared" si="2"/>
        <v/>
      </c>
    </row>
    <row r="54">
      <c r="A54" s="18" t="str">
        <f>'Cashflow Schedule'!B54</f>
        <v/>
      </c>
      <c r="B54" s="18" t="str">
        <f>'Cashflow Schedule'!E54</f>
        <v/>
      </c>
      <c r="C54" s="22" t="str">
        <f>IF(A54="","",Inputs!$C$6*EXP((Inputs!$C$8-Inputs!$C$7)*A54))</f>
        <v/>
      </c>
      <c r="D54" s="22" t="str">
        <f t="shared" si="1"/>
        <v/>
      </c>
      <c r="E54" s="21" t="str">
        <f>IF(A54="","",EXP(-Inputs!$C$8*A54))</f>
        <v/>
      </c>
      <c r="F54" s="22" t="str">
        <f t="shared" si="2"/>
        <v/>
      </c>
    </row>
    <row r="55">
      <c r="A55" s="18" t="str">
        <f>'Cashflow Schedule'!B55</f>
        <v/>
      </c>
      <c r="B55" s="18" t="str">
        <f>'Cashflow Schedule'!E55</f>
        <v/>
      </c>
      <c r="C55" s="22" t="str">
        <f>IF(A55="","",Inputs!$C$6*EXP((Inputs!$C$8-Inputs!$C$7)*A55))</f>
        <v/>
      </c>
      <c r="D55" s="22" t="str">
        <f t="shared" si="1"/>
        <v/>
      </c>
      <c r="E55" s="21" t="str">
        <f>IF(A55="","",EXP(-Inputs!$C$8*A55))</f>
        <v/>
      </c>
      <c r="F55" s="22" t="str">
        <f t="shared" si="2"/>
        <v/>
      </c>
    </row>
    <row r="56">
      <c r="A56" s="18" t="str">
        <f>'Cashflow Schedule'!B56</f>
        <v/>
      </c>
      <c r="B56" s="18" t="str">
        <f>'Cashflow Schedule'!E56</f>
        <v/>
      </c>
      <c r="C56" s="22" t="str">
        <f>IF(A56="","",Inputs!$C$6*EXP((Inputs!$C$8-Inputs!$C$7)*A56))</f>
        <v/>
      </c>
      <c r="D56" s="22" t="str">
        <f t="shared" si="1"/>
        <v/>
      </c>
      <c r="E56" s="21" t="str">
        <f>IF(A56="","",EXP(-Inputs!$C$8*A56))</f>
        <v/>
      </c>
      <c r="F56" s="22" t="str">
        <f t="shared" si="2"/>
        <v/>
      </c>
    </row>
    <row r="57">
      <c r="A57" s="18" t="str">
        <f>'Cashflow Schedule'!B57</f>
        <v/>
      </c>
      <c r="B57" s="18" t="str">
        <f>'Cashflow Schedule'!E57</f>
        <v/>
      </c>
      <c r="C57" s="22" t="str">
        <f>IF(A57="","",Inputs!$C$6*EXP((Inputs!$C$8-Inputs!$C$7)*A57))</f>
        <v/>
      </c>
      <c r="D57" s="22" t="str">
        <f t="shared" si="1"/>
        <v/>
      </c>
      <c r="E57" s="21" t="str">
        <f>IF(A57="","",EXP(-Inputs!$C$8*A57))</f>
        <v/>
      </c>
      <c r="F57" s="22" t="str">
        <f t="shared" si="2"/>
        <v/>
      </c>
    </row>
    <row r="58">
      <c r="A58" s="18" t="str">
        <f>'Cashflow Schedule'!B58</f>
        <v/>
      </c>
      <c r="B58" s="18" t="str">
        <f>'Cashflow Schedule'!E58</f>
        <v/>
      </c>
      <c r="C58" s="22" t="str">
        <f>IF(A58="","",Inputs!$C$6*EXP((Inputs!$C$8-Inputs!$C$7)*A58))</f>
        <v/>
      </c>
      <c r="D58" s="22" t="str">
        <f t="shared" si="1"/>
        <v/>
      </c>
      <c r="E58" s="21" t="str">
        <f>IF(A58="","",EXP(-Inputs!$C$8*A58))</f>
        <v/>
      </c>
      <c r="F58" s="22" t="str">
        <f t="shared" si="2"/>
        <v/>
      </c>
    </row>
    <row r="59">
      <c r="A59" s="18" t="str">
        <f>'Cashflow Schedule'!B59</f>
        <v/>
      </c>
      <c r="B59" s="18" t="str">
        <f>'Cashflow Schedule'!E59</f>
        <v/>
      </c>
      <c r="C59" s="22" t="str">
        <f>IF(A59="","",Inputs!$C$6*EXP((Inputs!$C$8-Inputs!$C$7)*A59))</f>
        <v/>
      </c>
      <c r="D59" s="22" t="str">
        <f t="shared" si="1"/>
        <v/>
      </c>
      <c r="E59" s="21" t="str">
        <f>IF(A59="","",EXP(-Inputs!$C$8*A59))</f>
        <v/>
      </c>
      <c r="F59" s="22" t="str">
        <f t="shared" si="2"/>
        <v/>
      </c>
    </row>
    <row r="60">
      <c r="A60" s="18" t="str">
        <f>'Cashflow Schedule'!B60</f>
        <v/>
      </c>
      <c r="B60" s="18" t="str">
        <f>'Cashflow Schedule'!E60</f>
        <v/>
      </c>
      <c r="C60" s="22" t="str">
        <f>IF(A60="","",Inputs!$C$6*EXP((Inputs!$C$8-Inputs!$C$7)*A60))</f>
        <v/>
      </c>
      <c r="D60" s="22" t="str">
        <f t="shared" si="1"/>
        <v/>
      </c>
      <c r="E60" s="21" t="str">
        <f>IF(A60="","",EXP(-Inputs!$C$8*A60))</f>
        <v/>
      </c>
      <c r="F60" s="22" t="str">
        <f t="shared" si="2"/>
        <v/>
      </c>
    </row>
    <row r="61">
      <c r="A61" s="18" t="str">
        <f>'Cashflow Schedule'!B61</f>
        <v/>
      </c>
      <c r="B61" s="18" t="str">
        <f>'Cashflow Schedule'!E61</f>
        <v/>
      </c>
      <c r="C61" s="22" t="str">
        <f>IF(A61="","",Inputs!$C$6*EXP((Inputs!$C$8-Inputs!$C$7)*A61))</f>
        <v/>
      </c>
      <c r="D61" s="22" t="str">
        <f t="shared" si="1"/>
        <v/>
      </c>
      <c r="E61" s="21" t="str">
        <f>IF(A61="","",EXP(-Inputs!$C$8*A61))</f>
        <v/>
      </c>
      <c r="F61" s="22" t="str">
        <f t="shared" si="2"/>
        <v/>
      </c>
    </row>
    <row r="62">
      <c r="A62" s="18" t="str">
        <f>'Cashflow Schedule'!B62</f>
        <v/>
      </c>
      <c r="B62" s="18" t="str">
        <f>'Cashflow Schedule'!E62</f>
        <v/>
      </c>
      <c r="C62" s="22" t="str">
        <f>IF(A62="","",Inputs!$C$6*EXP((Inputs!$C$8-Inputs!$C$7)*A62))</f>
        <v/>
      </c>
      <c r="D62" s="22" t="str">
        <f t="shared" si="1"/>
        <v/>
      </c>
      <c r="E62" s="21" t="str">
        <f>IF(A62="","",EXP(-Inputs!$C$8*A62))</f>
        <v/>
      </c>
      <c r="F62" s="22" t="str">
        <f t="shared" si="2"/>
        <v/>
      </c>
    </row>
    <row r="63">
      <c r="A63" s="18" t="str">
        <f>'Cashflow Schedule'!B63</f>
        <v/>
      </c>
      <c r="B63" s="18" t="str">
        <f>'Cashflow Schedule'!E63</f>
        <v/>
      </c>
      <c r="C63" s="22" t="str">
        <f>IF(A63="","",Inputs!$C$6*EXP((Inputs!$C$8-Inputs!$C$7)*A63))</f>
        <v/>
      </c>
      <c r="D63" s="22" t="str">
        <f t="shared" si="1"/>
        <v/>
      </c>
      <c r="E63" s="21" t="str">
        <f>IF(A63="","",EXP(-Inputs!$C$8*A63))</f>
        <v/>
      </c>
      <c r="F63" s="22" t="str">
        <f t="shared" si="2"/>
        <v/>
      </c>
    </row>
    <row r="64">
      <c r="A64" s="18" t="str">
        <f>'Cashflow Schedule'!B64</f>
        <v/>
      </c>
      <c r="B64" s="18" t="str">
        <f>'Cashflow Schedule'!E64</f>
        <v/>
      </c>
      <c r="C64" s="22" t="str">
        <f>IF(A64="","",Inputs!$C$6*EXP((Inputs!$C$8-Inputs!$C$7)*A64))</f>
        <v/>
      </c>
      <c r="D64" s="22" t="str">
        <f t="shared" si="1"/>
        <v/>
      </c>
      <c r="E64" s="21" t="str">
        <f>IF(A64="","",EXP(-Inputs!$C$8*A64))</f>
        <v/>
      </c>
      <c r="F64" s="22" t="str">
        <f t="shared" si="2"/>
        <v/>
      </c>
    </row>
    <row r="65">
      <c r="A65" s="18" t="str">
        <f>'Cashflow Schedule'!B65</f>
        <v/>
      </c>
      <c r="B65" s="18" t="str">
        <f>'Cashflow Schedule'!E65</f>
        <v/>
      </c>
      <c r="C65" s="22" t="str">
        <f>IF(A65="","",Inputs!$C$6*EXP((Inputs!$C$8-Inputs!$C$7)*A65))</f>
        <v/>
      </c>
      <c r="D65" s="22" t="str">
        <f t="shared" si="1"/>
        <v/>
      </c>
      <c r="E65" s="21" t="str">
        <f>IF(A65="","",EXP(-Inputs!$C$8*A65))</f>
        <v/>
      </c>
      <c r="F65" s="22" t="str">
        <f t="shared" si="2"/>
        <v/>
      </c>
    </row>
    <row r="66">
      <c r="A66" s="18" t="str">
        <f>'Cashflow Schedule'!B66</f>
        <v/>
      </c>
      <c r="B66" s="18" t="str">
        <f>'Cashflow Schedule'!E66</f>
        <v/>
      </c>
      <c r="C66" s="22" t="str">
        <f>IF(A66="","",Inputs!$C$6*EXP((Inputs!$C$8-Inputs!$C$7)*A66))</f>
        <v/>
      </c>
      <c r="D66" s="22" t="str">
        <f t="shared" si="1"/>
        <v/>
      </c>
      <c r="E66" s="21" t="str">
        <f>IF(A66="","",EXP(-Inputs!$C$8*A66))</f>
        <v/>
      </c>
      <c r="F66" s="22" t="str">
        <f t="shared" si="2"/>
        <v/>
      </c>
    </row>
    <row r="67">
      <c r="A67" s="18" t="str">
        <f>'Cashflow Schedule'!B67</f>
        <v/>
      </c>
      <c r="B67" s="18" t="str">
        <f>'Cashflow Schedule'!E67</f>
        <v/>
      </c>
      <c r="C67" s="22" t="str">
        <f>IF(A67="","",Inputs!$C$6*EXP((Inputs!$C$8-Inputs!$C$7)*A67))</f>
        <v/>
      </c>
      <c r="D67" s="22" t="str">
        <f t="shared" si="1"/>
        <v/>
      </c>
      <c r="E67" s="21" t="str">
        <f>IF(A67="","",EXP(-Inputs!$C$8*A67))</f>
        <v/>
      </c>
      <c r="F67" s="22" t="str">
        <f t="shared" si="2"/>
        <v/>
      </c>
    </row>
    <row r="68">
      <c r="A68" s="18" t="str">
        <f>'Cashflow Schedule'!B68</f>
        <v/>
      </c>
      <c r="B68" s="18" t="str">
        <f>'Cashflow Schedule'!E68</f>
        <v/>
      </c>
      <c r="C68" s="22" t="str">
        <f>IF(A68="","",Inputs!$C$6*EXP((Inputs!$C$8-Inputs!$C$7)*A68))</f>
        <v/>
      </c>
      <c r="D68" s="22" t="str">
        <f t="shared" si="1"/>
        <v/>
      </c>
      <c r="E68" s="21" t="str">
        <f>IF(A68="","",EXP(-Inputs!$C$8*A68))</f>
        <v/>
      </c>
      <c r="F68" s="22" t="str">
        <f t="shared" si="2"/>
        <v/>
      </c>
    </row>
    <row r="69">
      <c r="A69" s="18" t="str">
        <f>'Cashflow Schedule'!B69</f>
        <v/>
      </c>
      <c r="B69" s="18" t="str">
        <f>'Cashflow Schedule'!E69</f>
        <v/>
      </c>
      <c r="C69" s="22" t="str">
        <f>IF(A69="","",Inputs!$C$6*EXP((Inputs!$C$8-Inputs!$C$7)*A69))</f>
        <v/>
      </c>
      <c r="D69" s="22" t="str">
        <f t="shared" si="1"/>
        <v/>
      </c>
      <c r="E69" s="21" t="str">
        <f>IF(A69="","",EXP(-Inputs!$C$8*A69))</f>
        <v/>
      </c>
      <c r="F69" s="22" t="str">
        <f t="shared" si="2"/>
        <v/>
      </c>
    </row>
    <row r="70">
      <c r="A70" s="18" t="str">
        <f>'Cashflow Schedule'!B70</f>
        <v/>
      </c>
      <c r="B70" s="18" t="str">
        <f>'Cashflow Schedule'!E70</f>
        <v/>
      </c>
      <c r="C70" s="22" t="str">
        <f>IF(A70="","",Inputs!$C$6*EXP((Inputs!$C$8-Inputs!$C$7)*A70))</f>
        <v/>
      </c>
      <c r="D70" s="22" t="str">
        <f t="shared" si="1"/>
        <v/>
      </c>
      <c r="E70" s="21" t="str">
        <f>IF(A70="","",EXP(-Inputs!$C$8*A70))</f>
        <v/>
      </c>
      <c r="F70" s="22" t="str">
        <f t="shared" si="2"/>
        <v/>
      </c>
    </row>
    <row r="71">
      <c r="A71" s="18" t="str">
        <f>'Cashflow Schedule'!B71</f>
        <v/>
      </c>
      <c r="B71" s="18" t="str">
        <f>'Cashflow Schedule'!E71</f>
        <v/>
      </c>
      <c r="C71" s="22" t="str">
        <f>IF(A71="","",Inputs!$C$6*EXP((Inputs!$C$8-Inputs!$C$7)*A71))</f>
        <v/>
      </c>
      <c r="D71" s="22" t="str">
        <f t="shared" si="1"/>
        <v/>
      </c>
      <c r="E71" s="21" t="str">
        <f>IF(A71="","",EXP(-Inputs!$C$8*A71))</f>
        <v/>
      </c>
      <c r="F71" s="22" t="str">
        <f t="shared" si="2"/>
        <v/>
      </c>
    </row>
    <row r="72">
      <c r="A72" s="18" t="str">
        <f>'Cashflow Schedule'!B72</f>
        <v/>
      </c>
      <c r="B72" s="18" t="str">
        <f>'Cashflow Schedule'!E72</f>
        <v/>
      </c>
      <c r="C72" s="22" t="str">
        <f>IF(A72="","",Inputs!$C$6*EXP((Inputs!$C$8-Inputs!$C$7)*A72))</f>
        <v/>
      </c>
      <c r="D72" s="22" t="str">
        <f t="shared" si="1"/>
        <v/>
      </c>
      <c r="E72" s="21" t="str">
        <f>IF(A72="","",EXP(-Inputs!$C$8*A72))</f>
        <v/>
      </c>
      <c r="F72" s="22" t="str">
        <f t="shared" si="2"/>
        <v/>
      </c>
    </row>
    <row r="73">
      <c r="A73" s="18" t="str">
        <f>'Cashflow Schedule'!B73</f>
        <v/>
      </c>
      <c r="B73" s="18" t="str">
        <f>'Cashflow Schedule'!E73</f>
        <v/>
      </c>
      <c r="C73" s="22" t="str">
        <f>IF(A73="","",Inputs!$C$6*EXP((Inputs!$C$8-Inputs!$C$7)*A73))</f>
        <v/>
      </c>
      <c r="D73" s="22" t="str">
        <f t="shared" si="1"/>
        <v/>
      </c>
      <c r="E73" s="21" t="str">
        <f>IF(A73="","",EXP(-Inputs!$C$8*A73))</f>
        <v/>
      </c>
      <c r="F73" s="22" t="str">
        <f t="shared" si="2"/>
        <v/>
      </c>
    </row>
    <row r="74">
      <c r="A74" s="18" t="str">
        <f>'Cashflow Schedule'!B74</f>
        <v/>
      </c>
      <c r="B74" s="18" t="str">
        <f>'Cashflow Schedule'!E74</f>
        <v/>
      </c>
      <c r="C74" s="22" t="str">
        <f>IF(A74="","",Inputs!$C$6*EXP((Inputs!$C$8-Inputs!$C$7)*A74))</f>
        <v/>
      </c>
      <c r="D74" s="22" t="str">
        <f t="shared" si="1"/>
        <v/>
      </c>
      <c r="E74" s="21" t="str">
        <f>IF(A74="","",EXP(-Inputs!$C$8*A74))</f>
        <v/>
      </c>
      <c r="F74" s="22" t="str">
        <f t="shared" si="2"/>
        <v/>
      </c>
    </row>
    <row r="75">
      <c r="A75" s="18" t="str">
        <f>'Cashflow Schedule'!B75</f>
        <v/>
      </c>
      <c r="B75" s="18" t="str">
        <f>'Cashflow Schedule'!E75</f>
        <v/>
      </c>
      <c r="C75" s="22" t="str">
        <f>IF(A75="","",Inputs!$C$6*EXP((Inputs!$C$8-Inputs!$C$7)*A75))</f>
        <v/>
      </c>
      <c r="D75" s="22" t="str">
        <f t="shared" si="1"/>
        <v/>
      </c>
      <c r="E75" s="21" t="str">
        <f>IF(A75="","",EXP(-Inputs!$C$8*A75))</f>
        <v/>
      </c>
      <c r="F75" s="22" t="str">
        <f t="shared" si="2"/>
        <v/>
      </c>
    </row>
    <row r="76">
      <c r="A76" s="18" t="str">
        <f>'Cashflow Schedule'!B76</f>
        <v/>
      </c>
      <c r="B76" s="18" t="str">
        <f>'Cashflow Schedule'!E76</f>
        <v/>
      </c>
      <c r="C76" s="22" t="str">
        <f>IF(A76="","",Inputs!$C$6*EXP((Inputs!$C$8-Inputs!$C$7)*A76))</f>
        <v/>
      </c>
      <c r="D76" s="22" t="str">
        <f t="shared" si="1"/>
        <v/>
      </c>
      <c r="E76" s="21" t="str">
        <f>IF(A76="","",EXP(-Inputs!$C$8*A76))</f>
        <v/>
      </c>
      <c r="F76" s="22" t="str">
        <f t="shared" si="2"/>
        <v/>
      </c>
    </row>
    <row r="77">
      <c r="A77" s="18" t="str">
        <f>'Cashflow Schedule'!B77</f>
        <v/>
      </c>
      <c r="B77" s="18" t="str">
        <f>'Cashflow Schedule'!E77</f>
        <v/>
      </c>
      <c r="C77" s="22" t="str">
        <f>IF(A77="","",Inputs!$C$6*EXP((Inputs!$C$8-Inputs!$C$7)*A77))</f>
        <v/>
      </c>
      <c r="D77" s="22" t="str">
        <f t="shared" si="1"/>
        <v/>
      </c>
      <c r="E77" s="21" t="str">
        <f>IF(A77="","",EXP(-Inputs!$C$8*A77))</f>
        <v/>
      </c>
      <c r="F77" s="22" t="str">
        <f t="shared" si="2"/>
        <v/>
      </c>
    </row>
    <row r="78">
      <c r="A78" s="18" t="str">
        <f>'Cashflow Schedule'!B78</f>
        <v/>
      </c>
      <c r="B78" s="18" t="str">
        <f>'Cashflow Schedule'!E78</f>
        <v/>
      </c>
      <c r="C78" s="22" t="str">
        <f>IF(A78="","",Inputs!$C$6*EXP((Inputs!$C$8-Inputs!$C$7)*A78))</f>
        <v/>
      </c>
      <c r="D78" s="22" t="str">
        <f t="shared" si="1"/>
        <v/>
      </c>
      <c r="E78" s="21" t="str">
        <f>IF(A78="","",EXP(-Inputs!$C$8*A78))</f>
        <v/>
      </c>
      <c r="F78" s="22" t="str">
        <f t="shared" si="2"/>
        <v/>
      </c>
    </row>
    <row r="79">
      <c r="A79" s="18" t="str">
        <f>'Cashflow Schedule'!B79</f>
        <v/>
      </c>
      <c r="B79" s="18" t="str">
        <f>'Cashflow Schedule'!E79</f>
        <v/>
      </c>
      <c r="C79" s="22" t="str">
        <f>IF(A79="","",Inputs!$C$6*EXP((Inputs!$C$8-Inputs!$C$7)*A79))</f>
        <v/>
      </c>
      <c r="D79" s="22" t="str">
        <f t="shared" si="1"/>
        <v/>
      </c>
      <c r="E79" s="21" t="str">
        <f>IF(A79="","",EXP(-Inputs!$C$8*A79))</f>
        <v/>
      </c>
      <c r="F79" s="22" t="str">
        <f t="shared" si="2"/>
        <v/>
      </c>
    </row>
    <row r="80">
      <c r="A80" s="18" t="str">
        <f>'Cashflow Schedule'!B80</f>
        <v/>
      </c>
      <c r="B80" s="18" t="str">
        <f>'Cashflow Schedule'!E80</f>
        <v/>
      </c>
      <c r="C80" s="22" t="str">
        <f>IF(A80="","",Inputs!$C$6*EXP((Inputs!$C$8-Inputs!$C$7)*A80))</f>
        <v/>
      </c>
      <c r="D80" s="22" t="str">
        <f t="shared" si="1"/>
        <v/>
      </c>
      <c r="E80" s="21" t="str">
        <f>IF(A80="","",EXP(-Inputs!$C$8*A80))</f>
        <v/>
      </c>
      <c r="F80" s="22" t="str">
        <f t="shared" si="2"/>
        <v/>
      </c>
    </row>
    <row r="81">
      <c r="A81" s="18" t="str">
        <f>'Cashflow Schedule'!B81</f>
        <v/>
      </c>
      <c r="B81" s="18" t="str">
        <f>'Cashflow Schedule'!E81</f>
        <v/>
      </c>
      <c r="C81" s="22" t="str">
        <f>IF(A81="","",Inputs!$C$6*EXP((Inputs!$C$8-Inputs!$C$7)*A81))</f>
        <v/>
      </c>
      <c r="D81" s="22" t="str">
        <f t="shared" si="1"/>
        <v/>
      </c>
      <c r="E81" s="21" t="str">
        <f>IF(A81="","",EXP(-Inputs!$C$8*A81))</f>
        <v/>
      </c>
      <c r="F81" s="22" t="str">
        <f t="shared" si="2"/>
        <v/>
      </c>
    </row>
    <row r="82">
      <c r="A82" s="18" t="str">
        <f>'Cashflow Schedule'!B82</f>
        <v/>
      </c>
      <c r="B82" s="18" t="str">
        <f>'Cashflow Schedule'!E82</f>
        <v/>
      </c>
      <c r="C82" s="22" t="str">
        <f>IF(A82="","",Inputs!$C$6*EXP((Inputs!$C$8-Inputs!$C$7)*A82))</f>
        <v/>
      </c>
      <c r="D82" s="22" t="str">
        <f t="shared" si="1"/>
        <v/>
      </c>
      <c r="E82" s="21" t="str">
        <f>IF(A82="","",EXP(-Inputs!$C$8*A82))</f>
        <v/>
      </c>
      <c r="F82" s="22" t="str">
        <f t="shared" si="2"/>
        <v/>
      </c>
    </row>
    <row r="83">
      <c r="A83" s="18" t="str">
        <f>'Cashflow Schedule'!B83</f>
        <v/>
      </c>
      <c r="B83" s="18" t="str">
        <f>'Cashflow Schedule'!E83</f>
        <v/>
      </c>
      <c r="C83" s="22" t="str">
        <f>IF(A83="","",Inputs!$C$6*EXP((Inputs!$C$8-Inputs!$C$7)*A83))</f>
        <v/>
      </c>
      <c r="D83" s="22" t="str">
        <f t="shared" si="1"/>
        <v/>
      </c>
      <c r="E83" s="21" t="str">
        <f>IF(A83="","",EXP(-Inputs!$C$8*A83))</f>
        <v/>
      </c>
      <c r="F83" s="22" t="str">
        <f t="shared" si="2"/>
        <v/>
      </c>
    </row>
    <row r="84">
      <c r="A84" s="18" t="str">
        <f>'Cashflow Schedule'!B84</f>
        <v/>
      </c>
      <c r="B84" s="18" t="str">
        <f>'Cashflow Schedule'!E84</f>
        <v/>
      </c>
      <c r="C84" s="22" t="str">
        <f>IF(A84="","",Inputs!$C$6*EXP((Inputs!$C$8-Inputs!$C$7)*A84))</f>
        <v/>
      </c>
      <c r="D84" s="22" t="str">
        <f t="shared" si="1"/>
        <v/>
      </c>
      <c r="E84" s="21" t="str">
        <f>IF(A84="","",EXP(-Inputs!$C$8*A84))</f>
        <v/>
      </c>
      <c r="F84" s="22" t="str">
        <f t="shared" si="2"/>
        <v/>
      </c>
    </row>
    <row r="85">
      <c r="A85" s="18" t="str">
        <f>'Cashflow Schedule'!B85</f>
        <v/>
      </c>
      <c r="B85" s="18" t="str">
        <f>'Cashflow Schedule'!E85</f>
        <v/>
      </c>
      <c r="C85" s="22" t="str">
        <f>IF(A85="","",Inputs!$C$6*EXP((Inputs!$C$8-Inputs!$C$7)*A85))</f>
        <v/>
      </c>
      <c r="D85" s="22" t="str">
        <f t="shared" si="1"/>
        <v/>
      </c>
      <c r="E85" s="21" t="str">
        <f>IF(A85="","",EXP(-Inputs!$C$8*A85))</f>
        <v/>
      </c>
      <c r="F85" s="22" t="str">
        <f t="shared" si="2"/>
        <v/>
      </c>
    </row>
    <row r="86">
      <c r="A86" s="18" t="str">
        <f>'Cashflow Schedule'!B86</f>
        <v/>
      </c>
      <c r="B86" s="18" t="str">
        <f>'Cashflow Schedule'!E86</f>
        <v/>
      </c>
      <c r="C86" s="22" t="str">
        <f>IF(A86="","",Inputs!$C$6*EXP((Inputs!$C$8-Inputs!$C$7)*A86))</f>
        <v/>
      </c>
      <c r="D86" s="22" t="str">
        <f t="shared" si="1"/>
        <v/>
      </c>
      <c r="E86" s="21" t="str">
        <f>IF(A86="","",EXP(-Inputs!$C$8*A86))</f>
        <v/>
      </c>
      <c r="F86" s="22" t="str">
        <f t="shared" si="2"/>
        <v/>
      </c>
    </row>
    <row r="87">
      <c r="A87" s="18" t="str">
        <f>'Cashflow Schedule'!B87</f>
        <v/>
      </c>
      <c r="B87" s="18" t="str">
        <f>'Cashflow Schedule'!E87</f>
        <v/>
      </c>
      <c r="C87" s="22" t="str">
        <f>IF(A87="","",Inputs!$C$6*EXP((Inputs!$C$8-Inputs!$C$7)*A87))</f>
        <v/>
      </c>
      <c r="D87" s="22" t="str">
        <f t="shared" si="1"/>
        <v/>
      </c>
      <c r="E87" s="21" t="str">
        <f>IF(A87="","",EXP(-Inputs!$C$8*A87))</f>
        <v/>
      </c>
      <c r="F87" s="22" t="str">
        <f t="shared" si="2"/>
        <v/>
      </c>
    </row>
    <row r="88">
      <c r="A88" s="18" t="str">
        <f>'Cashflow Schedule'!B88</f>
        <v/>
      </c>
      <c r="B88" s="18" t="str">
        <f>'Cashflow Schedule'!E88</f>
        <v/>
      </c>
      <c r="C88" s="22" t="str">
        <f>IF(A88="","",Inputs!$C$6*EXP((Inputs!$C$8-Inputs!$C$7)*A88))</f>
        <v/>
      </c>
      <c r="D88" s="22" t="str">
        <f t="shared" si="1"/>
        <v/>
      </c>
      <c r="E88" s="21" t="str">
        <f>IF(A88="","",EXP(-Inputs!$C$8*A88))</f>
        <v/>
      </c>
      <c r="F88" s="22" t="str">
        <f t="shared" si="2"/>
        <v/>
      </c>
    </row>
    <row r="89">
      <c r="A89" s="18" t="str">
        <f>'Cashflow Schedule'!B89</f>
        <v/>
      </c>
      <c r="B89" s="18" t="str">
        <f>'Cashflow Schedule'!E89</f>
        <v/>
      </c>
      <c r="C89" s="22" t="str">
        <f>IF(A89="","",Inputs!$C$6*EXP((Inputs!$C$8-Inputs!$C$7)*A89))</f>
        <v/>
      </c>
      <c r="D89" s="22" t="str">
        <f t="shared" si="1"/>
        <v/>
      </c>
      <c r="E89" s="21" t="str">
        <f>IF(A89="","",EXP(-Inputs!$C$8*A89))</f>
        <v/>
      </c>
      <c r="F89" s="22" t="str">
        <f t="shared" si="2"/>
        <v/>
      </c>
    </row>
    <row r="90">
      <c r="A90" s="18" t="str">
        <f>'Cashflow Schedule'!B90</f>
        <v/>
      </c>
      <c r="B90" s="18" t="str">
        <f>'Cashflow Schedule'!E90</f>
        <v/>
      </c>
      <c r="C90" s="22" t="str">
        <f>IF(A90="","",Inputs!$C$6*EXP((Inputs!$C$8-Inputs!$C$7)*A90))</f>
        <v/>
      </c>
      <c r="D90" s="22" t="str">
        <f t="shared" si="1"/>
        <v/>
      </c>
      <c r="E90" s="21" t="str">
        <f>IF(A90="","",EXP(-Inputs!$C$8*A90))</f>
        <v/>
      </c>
      <c r="F90" s="22" t="str">
        <f t="shared" si="2"/>
        <v/>
      </c>
    </row>
    <row r="91">
      <c r="A91" s="18" t="str">
        <f>'Cashflow Schedule'!B91</f>
        <v/>
      </c>
      <c r="B91" s="18" t="str">
        <f>'Cashflow Schedule'!E91</f>
        <v/>
      </c>
      <c r="C91" s="22" t="str">
        <f>IF(A91="","",Inputs!$C$6*EXP((Inputs!$C$8-Inputs!$C$7)*A91))</f>
        <v/>
      </c>
      <c r="D91" s="22" t="str">
        <f t="shared" si="1"/>
        <v/>
      </c>
      <c r="E91" s="21" t="str">
        <f>IF(A91="","",EXP(-Inputs!$C$8*A91))</f>
        <v/>
      </c>
      <c r="F91" s="22" t="str">
        <f t="shared" si="2"/>
        <v/>
      </c>
    </row>
    <row r="92">
      <c r="A92" s="18" t="str">
        <f>'Cashflow Schedule'!B92</f>
        <v/>
      </c>
      <c r="B92" s="18" t="str">
        <f>'Cashflow Schedule'!E92</f>
        <v/>
      </c>
      <c r="C92" s="22" t="str">
        <f>IF(A92="","",Inputs!$C$6*EXP((Inputs!$C$8-Inputs!$C$7)*A92))</f>
        <v/>
      </c>
      <c r="D92" s="22" t="str">
        <f t="shared" si="1"/>
        <v/>
      </c>
      <c r="E92" s="21" t="str">
        <f>IF(A92="","",EXP(-Inputs!$C$8*A92))</f>
        <v/>
      </c>
      <c r="F92" s="22" t="str">
        <f t="shared" si="2"/>
        <v/>
      </c>
    </row>
    <row r="93">
      <c r="A93" s="18" t="str">
        <f>'Cashflow Schedule'!B93</f>
        <v/>
      </c>
      <c r="B93" s="18" t="str">
        <f>'Cashflow Schedule'!E93</f>
        <v/>
      </c>
      <c r="C93" s="22" t="str">
        <f>IF(A93="","",Inputs!$C$6*EXP((Inputs!$C$8-Inputs!$C$7)*A93))</f>
        <v/>
      </c>
      <c r="D93" s="22" t="str">
        <f t="shared" si="1"/>
        <v/>
      </c>
      <c r="E93" s="21" t="str">
        <f>IF(A93="","",EXP(-Inputs!$C$8*A93))</f>
        <v/>
      </c>
      <c r="F93" s="22" t="str">
        <f t="shared" si="2"/>
        <v/>
      </c>
    </row>
    <row r="94">
      <c r="A94" s="18" t="str">
        <f>'Cashflow Schedule'!B94</f>
        <v/>
      </c>
      <c r="B94" s="18" t="str">
        <f>'Cashflow Schedule'!E94</f>
        <v/>
      </c>
      <c r="C94" s="22" t="str">
        <f>IF(A94="","",Inputs!$C$6*EXP((Inputs!$C$8-Inputs!$C$7)*A94))</f>
        <v/>
      </c>
      <c r="D94" s="22" t="str">
        <f t="shared" si="1"/>
        <v/>
      </c>
      <c r="E94" s="21" t="str">
        <f>IF(A94="","",EXP(-Inputs!$C$8*A94))</f>
        <v/>
      </c>
      <c r="F94" s="22" t="str">
        <f t="shared" si="2"/>
        <v/>
      </c>
    </row>
    <row r="95">
      <c r="A95" s="18" t="str">
        <f>'Cashflow Schedule'!B95</f>
        <v/>
      </c>
      <c r="B95" s="18" t="str">
        <f>'Cashflow Schedule'!E95</f>
        <v/>
      </c>
      <c r="C95" s="22" t="str">
        <f>IF(A95="","",Inputs!$C$6*EXP((Inputs!$C$8-Inputs!$C$7)*A95))</f>
        <v/>
      </c>
      <c r="D95" s="22" t="str">
        <f t="shared" si="1"/>
        <v/>
      </c>
      <c r="E95" s="21" t="str">
        <f>IF(A95="","",EXP(-Inputs!$C$8*A95))</f>
        <v/>
      </c>
      <c r="F95" s="22" t="str">
        <f t="shared" si="2"/>
        <v/>
      </c>
    </row>
    <row r="96">
      <c r="A96" s="18" t="str">
        <f>'Cashflow Schedule'!B96</f>
        <v/>
      </c>
      <c r="B96" s="18" t="str">
        <f>'Cashflow Schedule'!E96</f>
        <v/>
      </c>
      <c r="C96" s="22" t="str">
        <f>IF(A96="","",Inputs!$C$6*EXP((Inputs!$C$8-Inputs!$C$7)*A96))</f>
        <v/>
      </c>
      <c r="D96" s="22" t="str">
        <f t="shared" si="1"/>
        <v/>
      </c>
      <c r="E96" s="21" t="str">
        <f>IF(A96="","",EXP(-Inputs!$C$8*A96))</f>
        <v/>
      </c>
      <c r="F96" s="22" t="str">
        <f t="shared" si="2"/>
        <v/>
      </c>
    </row>
    <row r="97">
      <c r="A97" s="18" t="str">
        <f>'Cashflow Schedule'!B97</f>
        <v/>
      </c>
      <c r="B97" s="18" t="str">
        <f>'Cashflow Schedule'!E97</f>
        <v/>
      </c>
      <c r="C97" s="22" t="str">
        <f>IF(A97="","",Inputs!$C$6*EXP((Inputs!$C$8-Inputs!$C$7)*A97))</f>
        <v/>
      </c>
      <c r="D97" s="22" t="str">
        <f t="shared" si="1"/>
        <v/>
      </c>
      <c r="E97" s="21" t="str">
        <f>IF(A97="","",EXP(-Inputs!$C$8*A97))</f>
        <v/>
      </c>
      <c r="F97" s="22" t="str">
        <f t="shared" si="2"/>
        <v/>
      </c>
    </row>
    <row r="98">
      <c r="A98" s="18" t="str">
        <f>'Cashflow Schedule'!B98</f>
        <v/>
      </c>
      <c r="B98" s="18" t="str">
        <f>'Cashflow Schedule'!E98</f>
        <v/>
      </c>
      <c r="C98" s="22" t="str">
        <f>IF(A98="","",Inputs!$C$6*EXP((Inputs!$C$8-Inputs!$C$7)*A98))</f>
        <v/>
      </c>
      <c r="D98" s="22" t="str">
        <f t="shared" si="1"/>
        <v/>
      </c>
      <c r="E98" s="21" t="str">
        <f>IF(A98="","",EXP(-Inputs!$C$8*A98))</f>
        <v/>
      </c>
      <c r="F98" s="22" t="str">
        <f t="shared" si="2"/>
        <v/>
      </c>
    </row>
    <row r="99">
      <c r="A99" s="18" t="str">
        <f>'Cashflow Schedule'!B99</f>
        <v/>
      </c>
      <c r="B99" s="18" t="str">
        <f>'Cashflow Schedule'!E99</f>
        <v/>
      </c>
      <c r="C99" s="22" t="str">
        <f>IF(A99="","",Inputs!$C$6*EXP((Inputs!$C$8-Inputs!$C$7)*A99))</f>
        <v/>
      </c>
      <c r="D99" s="22" t="str">
        <f t="shared" si="1"/>
        <v/>
      </c>
      <c r="E99" s="21" t="str">
        <f>IF(A99="","",EXP(-Inputs!$C$8*A99))</f>
        <v/>
      </c>
      <c r="F99" s="22" t="str">
        <f t="shared" si="2"/>
        <v/>
      </c>
    </row>
    <row r="100">
      <c r="A100" s="18" t="str">
        <f>'Cashflow Schedule'!B100</f>
        <v/>
      </c>
      <c r="B100" s="18" t="str">
        <f>'Cashflow Schedule'!E100</f>
        <v/>
      </c>
      <c r="C100" s="22" t="str">
        <f>IF(A100="","",Inputs!$C$6*EXP((Inputs!$C$8-Inputs!$C$7)*A100))</f>
        <v/>
      </c>
      <c r="D100" s="22" t="str">
        <f t="shared" si="1"/>
        <v/>
      </c>
      <c r="E100" s="21" t="str">
        <f>IF(A100="","",EXP(-Inputs!$C$8*A100))</f>
        <v/>
      </c>
      <c r="F100" s="22" t="str">
        <f t="shared" si="2"/>
        <v/>
      </c>
    </row>
    <row r="101">
      <c r="A101" s="18" t="str">
        <f>'Cashflow Schedule'!B101</f>
        <v/>
      </c>
      <c r="B101" s="18" t="str">
        <f>'Cashflow Schedule'!E101</f>
        <v/>
      </c>
      <c r="C101" s="22" t="str">
        <f>IF(A101="","",Inputs!$C$6*EXP((Inputs!$C$8-Inputs!$C$7)*A101))</f>
        <v/>
      </c>
      <c r="D101" s="22" t="str">
        <f t="shared" si="1"/>
        <v/>
      </c>
      <c r="E101" s="21" t="str">
        <f>IF(A101="","",EXP(-Inputs!$C$8*A101))</f>
        <v/>
      </c>
      <c r="F101" s="22" t="str">
        <f t="shared" si="2"/>
        <v/>
      </c>
    </row>
    <row r="102">
      <c r="A102" s="18" t="str">
        <f>'Cashflow Schedule'!B102</f>
        <v/>
      </c>
      <c r="B102" s="18" t="str">
        <f>'Cashflow Schedule'!E102</f>
        <v/>
      </c>
      <c r="C102" s="22" t="str">
        <f>IF(A102="","",Inputs!$C$6*EXP((Inputs!$C$8-Inputs!$C$7)*A102))</f>
        <v/>
      </c>
      <c r="D102" s="22" t="str">
        <f t="shared" si="1"/>
        <v/>
      </c>
      <c r="E102" s="21" t="str">
        <f>IF(A102="","",EXP(-Inputs!$C$8*A102))</f>
        <v/>
      </c>
      <c r="F102" s="22" t="str">
        <f t="shared" si="2"/>
        <v/>
      </c>
    </row>
    <row r="103">
      <c r="A103" s="18" t="str">
        <f>'Cashflow Schedule'!B103</f>
        <v/>
      </c>
      <c r="B103" s="18" t="str">
        <f>'Cashflow Schedule'!E103</f>
        <v/>
      </c>
      <c r="C103" s="22" t="str">
        <f>IF(A103="","",Inputs!$C$6*EXP((Inputs!$C$8-Inputs!$C$7)*A103))</f>
        <v/>
      </c>
      <c r="D103" s="22" t="str">
        <f t="shared" si="1"/>
        <v/>
      </c>
      <c r="E103" s="21" t="str">
        <f>IF(A103="","",EXP(-Inputs!$C$8*A103))</f>
        <v/>
      </c>
      <c r="F103" s="22" t="str">
        <f t="shared" si="2"/>
        <v/>
      </c>
    </row>
    <row r="104">
      <c r="A104" s="18" t="str">
        <f>'Cashflow Schedule'!B104</f>
        <v/>
      </c>
      <c r="B104" s="18" t="str">
        <f>'Cashflow Schedule'!E104</f>
        <v/>
      </c>
      <c r="C104" s="22" t="str">
        <f>IF(A104="","",Inputs!$C$6*EXP((Inputs!$C$8-Inputs!$C$7)*A104))</f>
        <v/>
      </c>
      <c r="D104" s="22" t="str">
        <f t="shared" si="1"/>
        <v/>
      </c>
      <c r="E104" s="21" t="str">
        <f>IF(A104="","",EXP(-Inputs!$C$8*A104))</f>
        <v/>
      </c>
      <c r="F104" s="22" t="str">
        <f t="shared" si="2"/>
        <v/>
      </c>
    </row>
    <row r="105">
      <c r="A105" s="18" t="str">
        <f>'Cashflow Schedule'!B105</f>
        <v/>
      </c>
      <c r="B105" s="18" t="str">
        <f>'Cashflow Schedule'!E105</f>
        <v/>
      </c>
      <c r="C105" s="22" t="str">
        <f>IF(A105="","",Inputs!$C$6*EXP((Inputs!$C$8-Inputs!$C$7)*A105))</f>
        <v/>
      </c>
      <c r="D105" s="22" t="str">
        <f t="shared" si="1"/>
        <v/>
      </c>
      <c r="E105" s="21" t="str">
        <f>IF(A105="","",EXP(-Inputs!$C$8*A105))</f>
        <v/>
      </c>
      <c r="F105" s="22" t="str">
        <f t="shared" si="2"/>
        <v/>
      </c>
    </row>
    <row r="106">
      <c r="A106" s="18" t="str">
        <f>'Cashflow Schedule'!B106</f>
        <v/>
      </c>
      <c r="B106" s="18" t="str">
        <f>'Cashflow Schedule'!E106</f>
        <v/>
      </c>
      <c r="C106" s="22" t="str">
        <f>IF(A106="","",Inputs!$C$6*EXP((Inputs!$C$8-Inputs!$C$7)*A106))</f>
        <v/>
      </c>
      <c r="D106" s="22" t="str">
        <f t="shared" si="1"/>
        <v/>
      </c>
      <c r="E106" s="21" t="str">
        <f>IF(A106="","",EXP(-Inputs!$C$8*A106))</f>
        <v/>
      </c>
      <c r="F106" s="22" t="str">
        <f t="shared" si="2"/>
        <v/>
      </c>
    </row>
    <row r="107">
      <c r="A107" s="18" t="str">
        <f>'Cashflow Schedule'!B107</f>
        <v/>
      </c>
      <c r="B107" s="18" t="str">
        <f>'Cashflow Schedule'!E107</f>
        <v/>
      </c>
      <c r="C107" s="22" t="str">
        <f>IF(A107="","",Inputs!$C$6*EXP((Inputs!$C$8-Inputs!$C$7)*A107))</f>
        <v/>
      </c>
      <c r="D107" s="22" t="str">
        <f t="shared" si="1"/>
        <v/>
      </c>
      <c r="E107" s="21" t="str">
        <f>IF(A107="","",EXP(-Inputs!$C$8*A107))</f>
        <v/>
      </c>
      <c r="F107" s="22" t="str">
        <f t="shared" si="2"/>
        <v/>
      </c>
    </row>
    <row r="108">
      <c r="A108" s="18" t="str">
        <f>'Cashflow Schedule'!B108</f>
        <v/>
      </c>
      <c r="B108" s="18" t="str">
        <f>'Cashflow Schedule'!E108</f>
        <v/>
      </c>
      <c r="C108" s="22" t="str">
        <f>IF(A108="","",Inputs!$C$6*EXP((Inputs!$C$8-Inputs!$C$7)*A108))</f>
        <v/>
      </c>
      <c r="D108" s="22" t="str">
        <f t="shared" si="1"/>
        <v/>
      </c>
      <c r="E108" s="21" t="str">
        <f>IF(A108="","",EXP(-Inputs!$C$8*A108))</f>
        <v/>
      </c>
      <c r="F108" s="22" t="str">
        <f t="shared" si="2"/>
        <v/>
      </c>
    </row>
    <row r="109">
      <c r="A109" s="18" t="str">
        <f>'Cashflow Schedule'!B109</f>
        <v/>
      </c>
      <c r="B109" s="18" t="str">
        <f>'Cashflow Schedule'!E109</f>
        <v/>
      </c>
      <c r="C109" s="22" t="str">
        <f>IF(A109="","",Inputs!$C$6*EXP((Inputs!$C$8-Inputs!$C$7)*A109))</f>
        <v/>
      </c>
      <c r="D109" s="22" t="str">
        <f t="shared" si="1"/>
        <v/>
      </c>
      <c r="E109" s="21" t="str">
        <f>IF(A109="","",EXP(-Inputs!$C$8*A109))</f>
        <v/>
      </c>
      <c r="F109" s="22" t="str">
        <f t="shared" si="2"/>
        <v/>
      </c>
    </row>
    <row r="110">
      <c r="A110" s="18" t="str">
        <f>'Cashflow Schedule'!B110</f>
        <v/>
      </c>
      <c r="B110" s="18" t="str">
        <f>'Cashflow Schedule'!E110</f>
        <v/>
      </c>
      <c r="C110" s="22" t="str">
        <f>IF(A110="","",Inputs!$C$6*EXP((Inputs!$C$8-Inputs!$C$7)*A110))</f>
        <v/>
      </c>
      <c r="D110" s="22" t="str">
        <f t="shared" si="1"/>
        <v/>
      </c>
      <c r="E110" s="21" t="str">
        <f>IF(A110="","",EXP(-Inputs!$C$8*A110))</f>
        <v/>
      </c>
      <c r="F110" s="22" t="str">
        <f t="shared" si="2"/>
        <v/>
      </c>
    </row>
    <row r="111">
      <c r="A111" s="18" t="str">
        <f>'Cashflow Schedule'!B111</f>
        <v/>
      </c>
      <c r="B111" s="18" t="str">
        <f>'Cashflow Schedule'!E111</f>
        <v/>
      </c>
      <c r="C111" s="22" t="str">
        <f>IF(A111="","",Inputs!$C$6*EXP((Inputs!$C$8-Inputs!$C$7)*A111))</f>
        <v/>
      </c>
      <c r="D111" s="22" t="str">
        <f t="shared" si="1"/>
        <v/>
      </c>
      <c r="E111" s="21" t="str">
        <f>IF(A111="","",EXP(-Inputs!$C$8*A111))</f>
        <v/>
      </c>
      <c r="F111" s="22" t="str">
        <f t="shared" si="2"/>
        <v/>
      </c>
    </row>
    <row r="112">
      <c r="A112" s="18" t="str">
        <f>'Cashflow Schedule'!B112</f>
        <v/>
      </c>
      <c r="B112" s="18" t="str">
        <f>'Cashflow Schedule'!E112</f>
        <v/>
      </c>
      <c r="C112" s="22" t="str">
        <f>IF(A112="","",Inputs!$C$6*EXP((Inputs!$C$8-Inputs!$C$7)*A112))</f>
        <v/>
      </c>
      <c r="D112" s="22" t="str">
        <f t="shared" si="1"/>
        <v/>
      </c>
      <c r="E112" s="21" t="str">
        <f>IF(A112="","",EXP(-Inputs!$C$8*A112))</f>
        <v/>
      </c>
      <c r="F112" s="22" t="str">
        <f t="shared" si="2"/>
        <v/>
      </c>
    </row>
    <row r="113">
      <c r="A113" s="18" t="str">
        <f>'Cashflow Schedule'!B113</f>
        <v/>
      </c>
      <c r="B113" s="18" t="str">
        <f>'Cashflow Schedule'!E113</f>
        <v/>
      </c>
      <c r="C113" s="22" t="str">
        <f>IF(A113="","",Inputs!$C$6*EXP((Inputs!$C$8-Inputs!$C$7)*A113))</f>
        <v/>
      </c>
      <c r="D113" s="22" t="str">
        <f t="shared" si="1"/>
        <v/>
      </c>
      <c r="E113" s="21" t="str">
        <f>IF(A113="","",EXP(-Inputs!$C$8*A113))</f>
        <v/>
      </c>
      <c r="F113" s="22" t="str">
        <f t="shared" si="2"/>
        <v/>
      </c>
    </row>
    <row r="114">
      <c r="A114" s="18" t="str">
        <f>'Cashflow Schedule'!B114</f>
        <v/>
      </c>
      <c r="B114" s="18" t="str">
        <f>'Cashflow Schedule'!E114</f>
        <v/>
      </c>
      <c r="C114" s="22" t="str">
        <f>IF(A114="","",Inputs!$C$6*EXP((Inputs!$C$8-Inputs!$C$7)*A114))</f>
        <v/>
      </c>
      <c r="D114" s="22" t="str">
        <f t="shared" si="1"/>
        <v/>
      </c>
      <c r="E114" s="21" t="str">
        <f>IF(A114="","",EXP(-Inputs!$C$8*A114))</f>
        <v/>
      </c>
      <c r="F114" s="22" t="str">
        <f t="shared" si="2"/>
        <v/>
      </c>
    </row>
    <row r="115">
      <c r="A115" s="18" t="str">
        <f>'Cashflow Schedule'!B115</f>
        <v/>
      </c>
      <c r="B115" s="18" t="str">
        <f>'Cashflow Schedule'!E115</f>
        <v/>
      </c>
      <c r="C115" s="22" t="str">
        <f>IF(A115="","",Inputs!$C$6*EXP((Inputs!$C$8-Inputs!$C$7)*A115))</f>
        <v/>
      </c>
      <c r="D115" s="22" t="str">
        <f t="shared" si="1"/>
        <v/>
      </c>
      <c r="E115" s="21" t="str">
        <f>IF(A115="","",EXP(-Inputs!$C$8*A115))</f>
        <v/>
      </c>
      <c r="F115" s="22" t="str">
        <f t="shared" si="2"/>
        <v/>
      </c>
    </row>
    <row r="116">
      <c r="A116" s="18" t="str">
        <f>'Cashflow Schedule'!B116</f>
        <v/>
      </c>
      <c r="B116" s="18" t="str">
        <f>'Cashflow Schedule'!E116</f>
        <v/>
      </c>
      <c r="C116" s="22" t="str">
        <f>IF(A116="","",Inputs!$C$6*EXP((Inputs!$C$8-Inputs!$C$7)*A116))</f>
        <v/>
      </c>
      <c r="D116" s="22" t="str">
        <f t="shared" si="1"/>
        <v/>
      </c>
      <c r="E116" s="21" t="str">
        <f>IF(A116="","",EXP(-Inputs!$C$8*A116))</f>
        <v/>
      </c>
      <c r="F116" s="22" t="str">
        <f t="shared" si="2"/>
        <v/>
      </c>
    </row>
    <row r="117">
      <c r="A117" s="18" t="str">
        <f>'Cashflow Schedule'!B117</f>
        <v/>
      </c>
      <c r="B117" s="18" t="str">
        <f>'Cashflow Schedule'!E117</f>
        <v/>
      </c>
      <c r="C117" s="22" t="str">
        <f>IF(A117="","",Inputs!$C$6*EXP((Inputs!$C$8-Inputs!$C$7)*A117))</f>
        <v/>
      </c>
      <c r="D117" s="22" t="str">
        <f t="shared" si="1"/>
        <v/>
      </c>
      <c r="E117" s="21" t="str">
        <f>IF(A117="","",EXP(-Inputs!$C$8*A117))</f>
        <v/>
      </c>
      <c r="F117" s="22" t="str">
        <f t="shared" si="2"/>
        <v/>
      </c>
    </row>
    <row r="118">
      <c r="A118" s="18" t="str">
        <f>'Cashflow Schedule'!B118</f>
        <v/>
      </c>
      <c r="B118" s="18" t="str">
        <f>'Cashflow Schedule'!E118</f>
        <v/>
      </c>
      <c r="C118" s="22" t="str">
        <f>IF(A118="","",Inputs!$C$6*EXP((Inputs!$C$8-Inputs!$C$7)*A118))</f>
        <v/>
      </c>
      <c r="D118" s="22" t="str">
        <f t="shared" si="1"/>
        <v/>
      </c>
      <c r="E118" s="21" t="str">
        <f>IF(A118="","",EXP(-Inputs!$C$8*A118))</f>
        <v/>
      </c>
      <c r="F118" s="22" t="str">
        <f t="shared" si="2"/>
        <v/>
      </c>
    </row>
    <row r="119">
      <c r="A119" s="18" t="str">
        <f>'Cashflow Schedule'!B119</f>
        <v/>
      </c>
      <c r="B119" s="18" t="str">
        <f>'Cashflow Schedule'!E119</f>
        <v/>
      </c>
      <c r="C119" s="22" t="str">
        <f>IF(A119="","",Inputs!$C$6*EXP((Inputs!$C$8-Inputs!$C$7)*A119))</f>
        <v/>
      </c>
      <c r="D119" s="22" t="str">
        <f t="shared" si="1"/>
        <v/>
      </c>
      <c r="E119" s="21" t="str">
        <f>IF(A119="","",EXP(-Inputs!$C$8*A119))</f>
        <v/>
      </c>
      <c r="F119" s="22" t="str">
        <f t="shared" si="2"/>
        <v/>
      </c>
    </row>
    <row r="120">
      <c r="A120" s="18" t="str">
        <f>'Cashflow Schedule'!B120</f>
        <v/>
      </c>
      <c r="B120" s="18" t="str">
        <f>'Cashflow Schedule'!E120</f>
        <v/>
      </c>
      <c r="C120" s="22" t="str">
        <f>IF(A120="","",Inputs!$C$6*EXP((Inputs!$C$8-Inputs!$C$7)*A120))</f>
        <v/>
      </c>
      <c r="D120" s="22" t="str">
        <f t="shared" si="1"/>
        <v/>
      </c>
      <c r="E120" s="21" t="str">
        <f>IF(A120="","",EXP(-Inputs!$C$8*A120))</f>
        <v/>
      </c>
      <c r="F120" s="22" t="str">
        <f t="shared" si="2"/>
        <v/>
      </c>
    </row>
    <row r="121">
      <c r="A121" s="18" t="str">
        <f>'Cashflow Schedule'!B121</f>
        <v/>
      </c>
      <c r="B121" s="18" t="str">
        <f>'Cashflow Schedule'!E121</f>
        <v/>
      </c>
      <c r="C121" s="22" t="str">
        <f>IF(A121="","",Inputs!$C$6*EXP((Inputs!$C$8-Inputs!$C$7)*A121))</f>
        <v/>
      </c>
      <c r="D121" s="22" t="str">
        <f t="shared" si="1"/>
        <v/>
      </c>
      <c r="E121" s="21" t="str">
        <f>IF(A121="","",EXP(-Inputs!$C$8*A121))</f>
        <v/>
      </c>
      <c r="F121" s="22" t="str">
        <f t="shared" si="2"/>
        <v/>
      </c>
    </row>
    <row r="122">
      <c r="A122" s="18" t="str">
        <f>'Cashflow Schedule'!B122</f>
        <v/>
      </c>
      <c r="B122" s="18" t="str">
        <f>'Cashflow Schedule'!E122</f>
        <v/>
      </c>
      <c r="C122" s="22" t="str">
        <f>IF(A122="","",Inputs!$C$6*EXP((Inputs!$C$8-Inputs!$C$7)*A122))</f>
        <v/>
      </c>
      <c r="D122" s="22" t="str">
        <f t="shared" si="1"/>
        <v/>
      </c>
      <c r="E122" s="21" t="str">
        <f>IF(A122="","",EXP(-Inputs!$C$8*A122))</f>
        <v/>
      </c>
      <c r="F122" s="22" t="str">
        <f t="shared" si="2"/>
        <v/>
      </c>
    </row>
    <row r="123">
      <c r="A123" s="18" t="str">
        <f>'Cashflow Schedule'!B123</f>
        <v/>
      </c>
      <c r="B123" s="18" t="str">
        <f>'Cashflow Schedule'!E123</f>
        <v/>
      </c>
      <c r="C123" s="22" t="str">
        <f>IF(A123="","",Inputs!$C$6*EXP((Inputs!$C$8-Inputs!$C$7)*A123))</f>
        <v/>
      </c>
      <c r="D123" s="22" t="str">
        <f t="shared" si="1"/>
        <v/>
      </c>
      <c r="E123" s="21" t="str">
        <f>IF(A123="","",EXP(-Inputs!$C$8*A123))</f>
        <v/>
      </c>
      <c r="F123" s="22" t="str">
        <f t="shared" si="2"/>
        <v/>
      </c>
    </row>
    <row r="124">
      <c r="A124" s="18" t="str">
        <f>'Cashflow Schedule'!B124</f>
        <v/>
      </c>
      <c r="B124" s="18" t="str">
        <f>'Cashflow Schedule'!E124</f>
        <v/>
      </c>
      <c r="C124" s="22" t="str">
        <f>IF(A124="","",Inputs!$C$6*EXP((Inputs!$C$8-Inputs!$C$7)*A124))</f>
        <v/>
      </c>
      <c r="D124" s="22" t="str">
        <f t="shared" si="1"/>
        <v/>
      </c>
      <c r="E124" s="21" t="str">
        <f>IF(A124="","",EXP(-Inputs!$C$8*A124))</f>
        <v/>
      </c>
      <c r="F124" s="22" t="str">
        <f t="shared" si="2"/>
        <v/>
      </c>
    </row>
    <row r="125">
      <c r="A125" s="18" t="str">
        <f>'Cashflow Schedule'!B125</f>
        <v/>
      </c>
      <c r="B125" s="18" t="str">
        <f>'Cashflow Schedule'!E125</f>
        <v/>
      </c>
      <c r="C125" s="22" t="str">
        <f>IF(A125="","",Inputs!$C$6*EXP((Inputs!$C$8-Inputs!$C$7)*A125))</f>
        <v/>
      </c>
      <c r="D125" s="22" t="str">
        <f t="shared" si="1"/>
        <v/>
      </c>
      <c r="E125" s="21" t="str">
        <f>IF(A125="","",EXP(-Inputs!$C$8*A125))</f>
        <v/>
      </c>
      <c r="F125" s="22" t="str">
        <f t="shared" si="2"/>
        <v/>
      </c>
    </row>
    <row r="126">
      <c r="A126" s="18" t="str">
        <f>'Cashflow Schedule'!B126</f>
        <v/>
      </c>
      <c r="B126" s="18" t="str">
        <f>'Cashflow Schedule'!E126</f>
        <v/>
      </c>
      <c r="C126" s="22" t="str">
        <f>IF(A126="","",Inputs!$C$6*EXP((Inputs!$C$8-Inputs!$C$7)*A126))</f>
        <v/>
      </c>
      <c r="D126" s="22" t="str">
        <f t="shared" si="1"/>
        <v/>
      </c>
      <c r="E126" s="21" t="str">
        <f>IF(A126="","",EXP(-Inputs!$C$8*A126))</f>
        <v/>
      </c>
      <c r="F126" s="22" t="str">
        <f t="shared" si="2"/>
        <v/>
      </c>
    </row>
    <row r="127">
      <c r="A127" s="18" t="str">
        <f>'Cashflow Schedule'!B127</f>
        <v/>
      </c>
      <c r="B127" s="18" t="str">
        <f>'Cashflow Schedule'!E127</f>
        <v/>
      </c>
      <c r="C127" s="22" t="str">
        <f>IF(A127="","",Inputs!$C$6*EXP((Inputs!$C$8-Inputs!$C$7)*A127))</f>
        <v/>
      </c>
      <c r="D127" s="22" t="str">
        <f t="shared" si="1"/>
        <v/>
      </c>
      <c r="E127" s="21" t="str">
        <f>IF(A127="","",EXP(-Inputs!$C$8*A127))</f>
        <v/>
      </c>
      <c r="F127" s="22" t="str">
        <f t="shared" si="2"/>
        <v/>
      </c>
    </row>
    <row r="128">
      <c r="A128" s="18" t="str">
        <f>'Cashflow Schedule'!B128</f>
        <v/>
      </c>
      <c r="B128" s="18" t="str">
        <f>'Cashflow Schedule'!E128</f>
        <v/>
      </c>
      <c r="C128" s="22" t="str">
        <f>IF(A128="","",Inputs!$C$6*EXP((Inputs!$C$8-Inputs!$C$7)*A128))</f>
        <v/>
      </c>
      <c r="D128" s="22" t="str">
        <f t="shared" si="1"/>
        <v/>
      </c>
      <c r="E128" s="21" t="str">
        <f>IF(A128="","",EXP(-Inputs!$C$8*A128))</f>
        <v/>
      </c>
      <c r="F128" s="22" t="str">
        <f t="shared" si="2"/>
        <v/>
      </c>
    </row>
    <row r="129">
      <c r="A129" s="18" t="str">
        <f>'Cashflow Schedule'!B129</f>
        <v/>
      </c>
      <c r="B129" s="18" t="str">
        <f>'Cashflow Schedule'!E129</f>
        <v/>
      </c>
      <c r="C129" s="22" t="str">
        <f>IF(A129="","",Inputs!$C$6*EXP((Inputs!$C$8-Inputs!$C$7)*A129))</f>
        <v/>
      </c>
      <c r="D129" s="22" t="str">
        <f t="shared" si="1"/>
        <v/>
      </c>
      <c r="E129" s="21" t="str">
        <f>IF(A129="","",EXP(-Inputs!$C$8*A129))</f>
        <v/>
      </c>
      <c r="F129" s="22" t="str">
        <f t="shared" si="2"/>
        <v/>
      </c>
    </row>
    <row r="130">
      <c r="A130" s="18" t="str">
        <f>'Cashflow Schedule'!B130</f>
        <v/>
      </c>
      <c r="B130" s="18" t="str">
        <f>'Cashflow Schedule'!E130</f>
        <v/>
      </c>
      <c r="C130" s="22" t="str">
        <f>IF(A130="","",Inputs!$C$6*EXP((Inputs!$C$8-Inputs!$C$7)*A130))</f>
        <v/>
      </c>
      <c r="D130" s="22" t="str">
        <f t="shared" si="1"/>
        <v/>
      </c>
      <c r="E130" s="21" t="str">
        <f>IF(A130="","",EXP(-Inputs!$C$8*A130))</f>
        <v/>
      </c>
      <c r="F130" s="22" t="str">
        <f t="shared" si="2"/>
        <v/>
      </c>
    </row>
    <row r="131">
      <c r="A131" s="18" t="str">
        <f>'Cashflow Schedule'!B131</f>
        <v/>
      </c>
      <c r="B131" s="18" t="str">
        <f>'Cashflow Schedule'!E131</f>
        <v/>
      </c>
      <c r="C131" s="22" t="str">
        <f>IF(A131="","",Inputs!$C$6*EXP((Inputs!$C$8-Inputs!$C$7)*A131))</f>
        <v/>
      </c>
      <c r="D131" s="22" t="str">
        <f t="shared" si="1"/>
        <v/>
      </c>
      <c r="E131" s="21" t="str">
        <f>IF(A131="","",EXP(-Inputs!$C$8*A131))</f>
        <v/>
      </c>
      <c r="F131" s="22" t="str">
        <f t="shared" si="2"/>
        <v/>
      </c>
    </row>
    <row r="132">
      <c r="A132" s="18" t="str">
        <f>'Cashflow Schedule'!B132</f>
        <v/>
      </c>
      <c r="B132" s="18" t="str">
        <f>'Cashflow Schedule'!E132</f>
        <v/>
      </c>
      <c r="C132" s="22" t="str">
        <f>IF(A132="","",Inputs!$C$6*EXP((Inputs!$C$8-Inputs!$C$7)*A132))</f>
        <v/>
      </c>
      <c r="D132" s="22" t="str">
        <f t="shared" si="1"/>
        <v/>
      </c>
      <c r="E132" s="21" t="str">
        <f>IF(A132="","",EXP(-Inputs!$C$8*A132))</f>
        <v/>
      </c>
      <c r="F132" s="22" t="str">
        <f t="shared" si="2"/>
        <v/>
      </c>
    </row>
    <row r="133">
      <c r="A133" s="18" t="str">
        <f>'Cashflow Schedule'!B133</f>
        <v/>
      </c>
      <c r="B133" s="18" t="str">
        <f>'Cashflow Schedule'!E133</f>
        <v/>
      </c>
      <c r="C133" s="22" t="str">
        <f>IF(A133="","",Inputs!$C$6*EXP((Inputs!$C$8-Inputs!$C$7)*A133))</f>
        <v/>
      </c>
      <c r="D133" s="22" t="str">
        <f t="shared" si="1"/>
        <v/>
      </c>
      <c r="E133" s="21" t="str">
        <f>IF(A133="","",EXP(-Inputs!$C$8*A133))</f>
        <v/>
      </c>
      <c r="F133" s="22" t="str">
        <f t="shared" si="2"/>
        <v/>
      </c>
    </row>
    <row r="134">
      <c r="A134" s="18" t="str">
        <f>'Cashflow Schedule'!B134</f>
        <v/>
      </c>
      <c r="B134" s="18" t="str">
        <f>'Cashflow Schedule'!E134</f>
        <v/>
      </c>
      <c r="C134" s="22" t="str">
        <f>IF(A134="","",Inputs!$C$6*EXP((Inputs!$C$8-Inputs!$C$7)*A134))</f>
        <v/>
      </c>
      <c r="D134" s="22" t="str">
        <f t="shared" si="1"/>
        <v/>
      </c>
      <c r="E134" s="21" t="str">
        <f>IF(A134="","",EXP(-Inputs!$C$8*A134))</f>
        <v/>
      </c>
      <c r="F134" s="22" t="str">
        <f t="shared" si="2"/>
        <v/>
      </c>
    </row>
    <row r="135">
      <c r="A135" s="18" t="str">
        <f>'Cashflow Schedule'!B135</f>
        <v/>
      </c>
      <c r="B135" s="18" t="str">
        <f>'Cashflow Schedule'!E135</f>
        <v/>
      </c>
      <c r="C135" s="22" t="str">
        <f>IF(A135="","",Inputs!$C$6*EXP((Inputs!$C$8-Inputs!$C$7)*A135))</f>
        <v/>
      </c>
      <c r="D135" s="22" t="str">
        <f t="shared" si="1"/>
        <v/>
      </c>
      <c r="E135" s="21" t="str">
        <f>IF(A135="","",EXP(-Inputs!$C$8*A135))</f>
        <v/>
      </c>
      <c r="F135" s="22" t="str">
        <f t="shared" si="2"/>
        <v/>
      </c>
    </row>
    <row r="136">
      <c r="A136" s="18" t="str">
        <f>'Cashflow Schedule'!B136</f>
        <v/>
      </c>
      <c r="B136" s="18" t="str">
        <f>'Cashflow Schedule'!E136</f>
        <v/>
      </c>
      <c r="C136" s="22" t="str">
        <f>IF(A136="","",Inputs!$C$6*EXP((Inputs!$C$8-Inputs!$C$7)*A136))</f>
        <v/>
      </c>
      <c r="D136" s="22" t="str">
        <f t="shared" si="1"/>
        <v/>
      </c>
      <c r="E136" s="21" t="str">
        <f>IF(A136="","",EXP(-Inputs!$C$8*A136))</f>
        <v/>
      </c>
      <c r="F136" s="22" t="str">
        <f t="shared" si="2"/>
        <v/>
      </c>
    </row>
    <row r="137">
      <c r="A137" s="18" t="str">
        <f>'Cashflow Schedule'!B137</f>
        <v/>
      </c>
      <c r="B137" s="18" t="str">
        <f>'Cashflow Schedule'!E137</f>
        <v/>
      </c>
      <c r="C137" s="22" t="str">
        <f>IF(A137="","",Inputs!$C$6*EXP((Inputs!$C$8-Inputs!$C$7)*A137))</f>
        <v/>
      </c>
      <c r="D137" s="22" t="str">
        <f t="shared" si="1"/>
        <v/>
      </c>
      <c r="E137" s="21" t="str">
        <f>IF(A137="","",EXP(-Inputs!$C$8*A137))</f>
        <v/>
      </c>
      <c r="F137" s="22" t="str">
        <f t="shared" si="2"/>
        <v/>
      </c>
    </row>
    <row r="138">
      <c r="A138" s="18" t="str">
        <f>'Cashflow Schedule'!B138</f>
        <v/>
      </c>
      <c r="B138" s="18" t="str">
        <f>'Cashflow Schedule'!E138</f>
        <v/>
      </c>
      <c r="C138" s="22" t="str">
        <f>IF(A138="","",Inputs!$C$6*EXP((Inputs!$C$8-Inputs!$C$7)*A138))</f>
        <v/>
      </c>
      <c r="D138" s="22" t="str">
        <f t="shared" si="1"/>
        <v/>
      </c>
      <c r="E138" s="21" t="str">
        <f>IF(A138="","",EXP(-Inputs!$C$8*A138))</f>
        <v/>
      </c>
      <c r="F138" s="22" t="str">
        <f t="shared" si="2"/>
        <v/>
      </c>
    </row>
    <row r="139">
      <c r="A139" s="18" t="str">
        <f>'Cashflow Schedule'!B139</f>
        <v/>
      </c>
      <c r="B139" s="18" t="str">
        <f>'Cashflow Schedule'!E139</f>
        <v/>
      </c>
      <c r="C139" s="22" t="str">
        <f>IF(A139="","",Inputs!$C$6*EXP((Inputs!$C$8-Inputs!$C$7)*A139))</f>
        <v/>
      </c>
      <c r="D139" s="22" t="str">
        <f t="shared" si="1"/>
        <v/>
      </c>
      <c r="E139" s="21" t="str">
        <f>IF(A139="","",EXP(-Inputs!$C$8*A139))</f>
        <v/>
      </c>
      <c r="F139" s="22" t="str">
        <f t="shared" si="2"/>
        <v/>
      </c>
    </row>
    <row r="140">
      <c r="A140" s="18" t="str">
        <f>'Cashflow Schedule'!B140</f>
        <v/>
      </c>
      <c r="B140" s="18" t="str">
        <f>'Cashflow Schedule'!E140</f>
        <v/>
      </c>
      <c r="C140" s="22" t="str">
        <f>IF(A140="","",Inputs!$C$6*EXP((Inputs!$C$8-Inputs!$C$7)*A140))</f>
        <v/>
      </c>
      <c r="D140" s="22" t="str">
        <f t="shared" si="1"/>
        <v/>
      </c>
      <c r="E140" s="21" t="str">
        <f>IF(A140="","",EXP(-Inputs!$C$8*A140))</f>
        <v/>
      </c>
      <c r="F140" s="22" t="str">
        <f t="shared" si="2"/>
        <v/>
      </c>
    </row>
    <row r="141">
      <c r="A141" s="18" t="str">
        <f>'Cashflow Schedule'!B141</f>
        <v/>
      </c>
      <c r="B141" s="18" t="str">
        <f>'Cashflow Schedule'!E141</f>
        <v/>
      </c>
      <c r="C141" s="22" t="str">
        <f>IF(A141="","",Inputs!$C$6*EXP((Inputs!$C$8-Inputs!$C$7)*A141))</f>
        <v/>
      </c>
      <c r="D141" s="22" t="str">
        <f t="shared" si="1"/>
        <v/>
      </c>
      <c r="E141" s="21" t="str">
        <f>IF(A141="","",EXP(-Inputs!$C$8*A141))</f>
        <v/>
      </c>
      <c r="F141" s="22" t="str">
        <f t="shared" si="2"/>
        <v/>
      </c>
    </row>
    <row r="142">
      <c r="A142" s="18" t="str">
        <f>'Cashflow Schedule'!B142</f>
        <v/>
      </c>
      <c r="B142" s="18" t="str">
        <f>'Cashflow Schedule'!E142</f>
        <v/>
      </c>
      <c r="C142" s="22" t="str">
        <f>IF(A142="","",Inputs!$C$6*EXP((Inputs!$C$8-Inputs!$C$7)*A142))</f>
        <v/>
      </c>
      <c r="D142" s="22" t="str">
        <f t="shared" si="1"/>
        <v/>
      </c>
      <c r="E142" s="21" t="str">
        <f>IF(A142="","",EXP(-Inputs!$C$8*A142))</f>
        <v/>
      </c>
      <c r="F142" s="22" t="str">
        <f t="shared" si="2"/>
        <v/>
      </c>
    </row>
    <row r="143">
      <c r="A143" s="18" t="str">
        <f>'Cashflow Schedule'!B143</f>
        <v/>
      </c>
      <c r="B143" s="18" t="str">
        <f>'Cashflow Schedule'!E143</f>
        <v/>
      </c>
      <c r="C143" s="22" t="str">
        <f>IF(A143="","",Inputs!$C$6*EXP((Inputs!$C$8-Inputs!$C$7)*A143))</f>
        <v/>
      </c>
      <c r="D143" s="22" t="str">
        <f t="shared" si="1"/>
        <v/>
      </c>
      <c r="E143" s="21" t="str">
        <f>IF(A143="","",EXP(-Inputs!$C$8*A143))</f>
        <v/>
      </c>
      <c r="F143" s="22" t="str">
        <f t="shared" si="2"/>
        <v/>
      </c>
    </row>
    <row r="144">
      <c r="A144" s="18" t="str">
        <f>'Cashflow Schedule'!B144</f>
        <v/>
      </c>
      <c r="B144" s="18" t="str">
        <f>'Cashflow Schedule'!E144</f>
        <v/>
      </c>
      <c r="C144" s="22" t="str">
        <f>IF(A144="","",Inputs!$C$6*EXP((Inputs!$C$8-Inputs!$C$7)*A144))</f>
        <v/>
      </c>
      <c r="D144" s="22" t="str">
        <f t="shared" si="1"/>
        <v/>
      </c>
      <c r="E144" s="21" t="str">
        <f>IF(A144="","",EXP(-Inputs!$C$8*A144))</f>
        <v/>
      </c>
      <c r="F144" s="22" t="str">
        <f t="shared" si="2"/>
        <v/>
      </c>
    </row>
    <row r="145">
      <c r="A145" s="18" t="str">
        <f>'Cashflow Schedule'!B145</f>
        <v/>
      </c>
      <c r="B145" s="18" t="str">
        <f>'Cashflow Schedule'!E145</f>
        <v/>
      </c>
      <c r="C145" s="22" t="str">
        <f>IF(A145="","",Inputs!$C$6*EXP((Inputs!$C$8-Inputs!$C$7)*A145))</f>
        <v/>
      </c>
      <c r="D145" s="22" t="str">
        <f t="shared" si="1"/>
        <v/>
      </c>
      <c r="E145" s="21" t="str">
        <f>IF(A145="","",EXP(-Inputs!$C$8*A145))</f>
        <v/>
      </c>
      <c r="F145" s="22" t="str">
        <f t="shared" si="2"/>
        <v/>
      </c>
    </row>
    <row r="146">
      <c r="A146" s="18" t="str">
        <f>'Cashflow Schedule'!B146</f>
        <v/>
      </c>
      <c r="B146" s="18" t="str">
        <f>'Cashflow Schedule'!E146</f>
        <v/>
      </c>
      <c r="C146" s="22" t="str">
        <f>IF(A146="","",Inputs!$C$6*EXP((Inputs!$C$8-Inputs!$C$7)*A146))</f>
        <v/>
      </c>
      <c r="D146" s="22" t="str">
        <f t="shared" si="1"/>
        <v/>
      </c>
      <c r="E146" s="21" t="str">
        <f>IF(A146="","",EXP(-Inputs!$C$8*A146))</f>
        <v/>
      </c>
      <c r="F146" s="22" t="str">
        <f t="shared" si="2"/>
        <v/>
      </c>
    </row>
    <row r="147">
      <c r="A147" s="18" t="str">
        <f>'Cashflow Schedule'!B147</f>
        <v/>
      </c>
      <c r="B147" s="18" t="str">
        <f>'Cashflow Schedule'!E147</f>
        <v/>
      </c>
      <c r="C147" s="22" t="str">
        <f>IF(A147="","",Inputs!$C$6*EXP((Inputs!$C$8-Inputs!$C$7)*A147))</f>
        <v/>
      </c>
      <c r="D147" s="22" t="str">
        <f t="shared" si="1"/>
        <v/>
      </c>
      <c r="E147" s="21" t="str">
        <f>IF(A147="","",EXP(-Inputs!$C$8*A147))</f>
        <v/>
      </c>
      <c r="F147" s="22" t="str">
        <f t="shared" si="2"/>
        <v/>
      </c>
    </row>
    <row r="148">
      <c r="A148" s="18" t="str">
        <f>'Cashflow Schedule'!B148</f>
        <v/>
      </c>
      <c r="B148" s="18" t="str">
        <f>'Cashflow Schedule'!E148</f>
        <v/>
      </c>
      <c r="C148" s="22" t="str">
        <f>IF(A148="","",Inputs!$C$6*EXP((Inputs!$C$8-Inputs!$C$7)*A148))</f>
        <v/>
      </c>
      <c r="D148" s="22" t="str">
        <f t="shared" si="1"/>
        <v/>
      </c>
      <c r="E148" s="21" t="str">
        <f>IF(A148="","",EXP(-Inputs!$C$8*A148))</f>
        <v/>
      </c>
      <c r="F148" s="22" t="str">
        <f t="shared" si="2"/>
        <v/>
      </c>
    </row>
    <row r="149">
      <c r="A149" s="18" t="str">
        <f>'Cashflow Schedule'!B149</f>
        <v/>
      </c>
      <c r="B149" s="18" t="str">
        <f>'Cashflow Schedule'!E149</f>
        <v/>
      </c>
      <c r="C149" s="22" t="str">
        <f>IF(A149="","",Inputs!$C$6*EXP((Inputs!$C$8-Inputs!$C$7)*A149))</f>
        <v/>
      </c>
      <c r="D149" s="22" t="str">
        <f t="shared" si="1"/>
        <v/>
      </c>
      <c r="E149" s="21" t="str">
        <f>IF(A149="","",EXP(-Inputs!$C$8*A149))</f>
        <v/>
      </c>
      <c r="F149" s="22" t="str">
        <f t="shared" si="2"/>
        <v/>
      </c>
    </row>
    <row r="150">
      <c r="A150" s="18" t="str">
        <f>'Cashflow Schedule'!B150</f>
        <v/>
      </c>
      <c r="B150" s="18" t="str">
        <f>'Cashflow Schedule'!E150</f>
        <v/>
      </c>
      <c r="C150" s="22" t="str">
        <f>IF(A150="","",Inputs!$C$6*EXP((Inputs!$C$8-Inputs!$C$7)*A150))</f>
        <v/>
      </c>
      <c r="D150" s="22" t="str">
        <f t="shared" si="1"/>
        <v/>
      </c>
      <c r="E150" s="21" t="str">
        <f>IF(A150="","",EXP(-Inputs!$C$8*A150))</f>
        <v/>
      </c>
      <c r="F150" s="22" t="str">
        <f t="shared" si="2"/>
        <v/>
      </c>
    </row>
    <row r="151">
      <c r="A151" s="18" t="str">
        <f>'Cashflow Schedule'!B151</f>
        <v/>
      </c>
      <c r="B151" s="18" t="str">
        <f>'Cashflow Schedule'!E151</f>
        <v/>
      </c>
      <c r="C151" s="22" t="str">
        <f>IF(A151="","",Inputs!$C$6*EXP((Inputs!$C$8-Inputs!$C$7)*A151))</f>
        <v/>
      </c>
      <c r="D151" s="22" t="str">
        <f t="shared" si="1"/>
        <v/>
      </c>
      <c r="E151" s="21" t="str">
        <f>IF(A151="","",EXP(-Inputs!$C$8*A151))</f>
        <v/>
      </c>
      <c r="F151" s="22" t="str">
        <f t="shared" si="2"/>
        <v/>
      </c>
    </row>
    <row r="152">
      <c r="A152" s="18" t="str">
        <f>'Cashflow Schedule'!B152</f>
        <v/>
      </c>
      <c r="B152" s="18" t="str">
        <f>'Cashflow Schedule'!E152</f>
        <v/>
      </c>
      <c r="C152" s="22" t="str">
        <f>IF(A152="","",Inputs!$C$6*EXP((Inputs!$C$8-Inputs!$C$7)*A152))</f>
        <v/>
      </c>
      <c r="D152" s="22" t="str">
        <f t="shared" si="1"/>
        <v/>
      </c>
      <c r="E152" s="21" t="str">
        <f>IF(A152="","",EXP(-Inputs!$C$8*A152))</f>
        <v/>
      </c>
      <c r="F152" s="22" t="str">
        <f t="shared" si="2"/>
        <v/>
      </c>
    </row>
    <row r="153">
      <c r="A153" s="18" t="str">
        <f>'Cashflow Schedule'!B153</f>
        <v/>
      </c>
      <c r="B153" s="18" t="str">
        <f>'Cashflow Schedule'!E153</f>
        <v/>
      </c>
      <c r="C153" s="22" t="str">
        <f>IF(A153="","",Inputs!$C$6*EXP((Inputs!$C$8-Inputs!$C$7)*A153))</f>
        <v/>
      </c>
      <c r="D153" s="22" t="str">
        <f t="shared" si="1"/>
        <v/>
      </c>
      <c r="E153" s="21" t="str">
        <f>IF(A153="","",EXP(-Inputs!$C$8*A153))</f>
        <v/>
      </c>
      <c r="F153" s="22" t="str">
        <f t="shared" si="2"/>
        <v/>
      </c>
    </row>
    <row r="154">
      <c r="A154" s="18" t="str">
        <f>'Cashflow Schedule'!B154</f>
        <v/>
      </c>
      <c r="B154" s="18" t="str">
        <f>'Cashflow Schedule'!E154</f>
        <v/>
      </c>
      <c r="C154" s="22" t="str">
        <f>IF(A154="","",Inputs!$C$6*EXP((Inputs!$C$8-Inputs!$C$7)*A154))</f>
        <v/>
      </c>
      <c r="D154" s="22" t="str">
        <f t="shared" si="1"/>
        <v/>
      </c>
      <c r="E154" s="21" t="str">
        <f>IF(A154="","",EXP(-Inputs!$C$8*A154))</f>
        <v/>
      </c>
      <c r="F154" s="22" t="str">
        <f t="shared" si="2"/>
        <v/>
      </c>
    </row>
    <row r="155">
      <c r="A155" s="18" t="str">
        <f>'Cashflow Schedule'!B155</f>
        <v/>
      </c>
      <c r="B155" s="18" t="str">
        <f>'Cashflow Schedule'!E155</f>
        <v/>
      </c>
      <c r="C155" s="22" t="str">
        <f>IF(A155="","",Inputs!$C$6*EXP((Inputs!$C$8-Inputs!$C$7)*A155))</f>
        <v/>
      </c>
      <c r="D155" s="22" t="str">
        <f t="shared" si="1"/>
        <v/>
      </c>
      <c r="E155" s="21" t="str">
        <f>IF(A155="","",EXP(-Inputs!$C$8*A155))</f>
        <v/>
      </c>
      <c r="F155" s="22" t="str">
        <f t="shared" si="2"/>
        <v/>
      </c>
    </row>
    <row r="156">
      <c r="A156" s="18" t="str">
        <f>'Cashflow Schedule'!B156</f>
        <v/>
      </c>
      <c r="B156" s="18" t="str">
        <f>'Cashflow Schedule'!E156</f>
        <v/>
      </c>
      <c r="C156" s="22" t="str">
        <f>IF(A156="","",Inputs!$C$6*EXP((Inputs!$C$8-Inputs!$C$7)*A156))</f>
        <v/>
      </c>
      <c r="D156" s="22" t="str">
        <f t="shared" si="1"/>
        <v/>
      </c>
      <c r="E156" s="21" t="str">
        <f>IF(A156="","",EXP(-Inputs!$C$8*A156))</f>
        <v/>
      </c>
      <c r="F156" s="22" t="str">
        <f t="shared" si="2"/>
        <v/>
      </c>
    </row>
    <row r="157">
      <c r="A157" s="18" t="str">
        <f>'Cashflow Schedule'!B157</f>
        <v/>
      </c>
      <c r="B157" s="18" t="str">
        <f>'Cashflow Schedule'!E157</f>
        <v/>
      </c>
      <c r="C157" s="22" t="str">
        <f>IF(A157="","",Inputs!$C$6*EXP((Inputs!$C$8-Inputs!$C$7)*A157))</f>
        <v/>
      </c>
      <c r="D157" s="22" t="str">
        <f t="shared" si="1"/>
        <v/>
      </c>
      <c r="E157" s="21" t="str">
        <f>IF(A157="","",EXP(-Inputs!$C$8*A157))</f>
        <v/>
      </c>
      <c r="F157" s="22" t="str">
        <f t="shared" si="2"/>
        <v/>
      </c>
    </row>
    <row r="158">
      <c r="A158" s="18" t="str">
        <f>'Cashflow Schedule'!B158</f>
        <v/>
      </c>
      <c r="B158" s="18" t="str">
        <f>'Cashflow Schedule'!E158</f>
        <v/>
      </c>
      <c r="C158" s="22" t="str">
        <f>IF(A158="","",Inputs!$C$6*EXP((Inputs!$C$8-Inputs!$C$7)*A158))</f>
        <v/>
      </c>
      <c r="D158" s="22" t="str">
        <f t="shared" si="1"/>
        <v/>
      </c>
      <c r="E158" s="21" t="str">
        <f>IF(A158="","",EXP(-Inputs!$C$8*A158))</f>
        <v/>
      </c>
      <c r="F158" s="22" t="str">
        <f t="shared" si="2"/>
        <v/>
      </c>
    </row>
    <row r="159">
      <c r="A159" s="18" t="str">
        <f>'Cashflow Schedule'!B159</f>
        <v/>
      </c>
      <c r="B159" s="18" t="str">
        <f>'Cashflow Schedule'!E159</f>
        <v/>
      </c>
      <c r="C159" s="22" t="str">
        <f>IF(A159="","",Inputs!$C$6*EXP((Inputs!$C$8-Inputs!$C$7)*A159))</f>
        <v/>
      </c>
      <c r="D159" s="22" t="str">
        <f t="shared" si="1"/>
        <v/>
      </c>
      <c r="E159" s="21" t="str">
        <f>IF(A159="","",EXP(-Inputs!$C$8*A159))</f>
        <v/>
      </c>
      <c r="F159" s="22" t="str">
        <f t="shared" si="2"/>
        <v/>
      </c>
    </row>
    <row r="160">
      <c r="A160" s="18" t="str">
        <f>'Cashflow Schedule'!B160</f>
        <v/>
      </c>
      <c r="B160" s="18" t="str">
        <f>'Cashflow Schedule'!E160</f>
        <v/>
      </c>
      <c r="C160" s="22" t="str">
        <f>IF(A160="","",Inputs!$C$6*EXP((Inputs!$C$8-Inputs!$C$7)*A160))</f>
        <v/>
      </c>
      <c r="D160" s="22" t="str">
        <f t="shared" si="1"/>
        <v/>
      </c>
      <c r="E160" s="21" t="str">
        <f>IF(A160="","",EXP(-Inputs!$C$8*A160))</f>
        <v/>
      </c>
      <c r="F160" s="22" t="str">
        <f t="shared" si="2"/>
        <v/>
      </c>
    </row>
    <row r="161">
      <c r="A161" s="18" t="str">
        <f>'Cashflow Schedule'!B161</f>
        <v/>
      </c>
      <c r="B161" s="18" t="str">
        <f>'Cashflow Schedule'!E161</f>
        <v/>
      </c>
      <c r="C161" s="22" t="str">
        <f>IF(A161="","",Inputs!$C$6*EXP((Inputs!$C$8-Inputs!$C$7)*A161))</f>
        <v/>
      </c>
      <c r="D161" s="22" t="str">
        <f t="shared" si="1"/>
        <v/>
      </c>
      <c r="E161" s="21" t="str">
        <f>IF(A161="","",EXP(-Inputs!$C$8*A161))</f>
        <v/>
      </c>
      <c r="F161" s="22" t="str">
        <f t="shared" si="2"/>
        <v/>
      </c>
    </row>
    <row r="162">
      <c r="A162" s="18" t="str">
        <f>'Cashflow Schedule'!B162</f>
        <v/>
      </c>
      <c r="B162" s="18" t="str">
        <f>'Cashflow Schedule'!E162</f>
        <v/>
      </c>
      <c r="C162" s="22" t="str">
        <f>IF(A162="","",Inputs!$C$6*EXP((Inputs!$C$8-Inputs!$C$7)*A162))</f>
        <v/>
      </c>
      <c r="D162" s="22" t="str">
        <f t="shared" si="1"/>
        <v/>
      </c>
      <c r="E162" s="21" t="str">
        <f>IF(A162="","",EXP(-Inputs!$C$8*A162))</f>
        <v/>
      </c>
      <c r="F162" s="22" t="str">
        <f t="shared" si="2"/>
        <v/>
      </c>
    </row>
    <row r="163">
      <c r="A163" s="18" t="str">
        <f>'Cashflow Schedule'!B163</f>
        <v/>
      </c>
      <c r="B163" s="18" t="str">
        <f>'Cashflow Schedule'!E163</f>
        <v/>
      </c>
      <c r="C163" s="22" t="str">
        <f>IF(A163="","",Inputs!$C$6*EXP((Inputs!$C$8-Inputs!$C$7)*A163))</f>
        <v/>
      </c>
      <c r="D163" s="22" t="str">
        <f t="shared" si="1"/>
        <v/>
      </c>
      <c r="E163" s="21" t="str">
        <f>IF(A163="","",EXP(-Inputs!$C$8*A163))</f>
        <v/>
      </c>
      <c r="F163" s="22" t="str">
        <f t="shared" si="2"/>
        <v/>
      </c>
    </row>
    <row r="164">
      <c r="A164" s="18" t="str">
        <f>'Cashflow Schedule'!B164</f>
        <v/>
      </c>
      <c r="B164" s="18" t="str">
        <f>'Cashflow Schedule'!E164</f>
        <v/>
      </c>
      <c r="C164" s="22" t="str">
        <f>IF(A164="","",Inputs!$C$6*EXP((Inputs!$C$8-Inputs!$C$7)*A164))</f>
        <v/>
      </c>
      <c r="D164" s="22" t="str">
        <f t="shared" si="1"/>
        <v/>
      </c>
      <c r="E164" s="21" t="str">
        <f>IF(A164="","",EXP(-Inputs!$C$8*A164))</f>
        <v/>
      </c>
      <c r="F164" s="22" t="str">
        <f t="shared" si="2"/>
        <v/>
      </c>
    </row>
    <row r="165">
      <c r="A165" s="18" t="str">
        <f>'Cashflow Schedule'!B165</f>
        <v/>
      </c>
      <c r="B165" s="18" t="str">
        <f>'Cashflow Schedule'!E165</f>
        <v/>
      </c>
      <c r="C165" s="22" t="str">
        <f>IF(A165="","",Inputs!$C$6*EXP((Inputs!$C$8-Inputs!$C$7)*A165))</f>
        <v/>
      </c>
      <c r="D165" s="22" t="str">
        <f t="shared" si="1"/>
        <v/>
      </c>
      <c r="E165" s="21" t="str">
        <f>IF(A165="","",EXP(-Inputs!$C$8*A165))</f>
        <v/>
      </c>
      <c r="F165" s="22" t="str">
        <f t="shared" si="2"/>
        <v/>
      </c>
    </row>
    <row r="166">
      <c r="A166" s="18" t="str">
        <f>'Cashflow Schedule'!B166</f>
        <v/>
      </c>
      <c r="B166" s="18" t="str">
        <f>'Cashflow Schedule'!E166</f>
        <v/>
      </c>
      <c r="C166" s="22" t="str">
        <f>IF(A166="","",Inputs!$C$6*EXP((Inputs!$C$8-Inputs!$C$7)*A166))</f>
        <v/>
      </c>
      <c r="D166" s="22" t="str">
        <f t="shared" si="1"/>
        <v/>
      </c>
      <c r="E166" s="21" t="str">
        <f>IF(A166="","",EXP(-Inputs!$C$8*A166))</f>
        <v/>
      </c>
      <c r="F166" s="22" t="str">
        <f t="shared" si="2"/>
        <v/>
      </c>
    </row>
    <row r="167">
      <c r="A167" s="18" t="str">
        <f>'Cashflow Schedule'!B167</f>
        <v/>
      </c>
      <c r="B167" s="18" t="str">
        <f>'Cashflow Schedule'!E167</f>
        <v/>
      </c>
      <c r="C167" s="22" t="str">
        <f>IF(A167="","",Inputs!$C$6*EXP((Inputs!$C$8-Inputs!$C$7)*A167))</f>
        <v/>
      </c>
      <c r="D167" s="22" t="str">
        <f t="shared" si="1"/>
        <v/>
      </c>
      <c r="E167" s="21" t="str">
        <f>IF(A167="","",EXP(-Inputs!$C$8*A167))</f>
        <v/>
      </c>
      <c r="F167" s="22" t="str">
        <f t="shared" si="2"/>
        <v/>
      </c>
    </row>
    <row r="168">
      <c r="A168" s="18" t="str">
        <f>'Cashflow Schedule'!B168</f>
        <v/>
      </c>
      <c r="B168" s="18" t="str">
        <f>'Cashflow Schedule'!E168</f>
        <v/>
      </c>
      <c r="C168" s="22" t="str">
        <f>IF(A168="","",Inputs!$C$6*EXP((Inputs!$C$8-Inputs!$C$7)*A168))</f>
        <v/>
      </c>
      <c r="D168" s="22" t="str">
        <f t="shared" si="1"/>
        <v/>
      </c>
      <c r="E168" s="21" t="str">
        <f>IF(A168="","",EXP(-Inputs!$C$8*A168))</f>
        <v/>
      </c>
      <c r="F168" s="22" t="str">
        <f t="shared" si="2"/>
        <v/>
      </c>
    </row>
    <row r="169">
      <c r="A169" s="18" t="str">
        <f>'Cashflow Schedule'!B169</f>
        <v/>
      </c>
      <c r="B169" s="18" t="str">
        <f>'Cashflow Schedule'!E169</f>
        <v/>
      </c>
      <c r="C169" s="22" t="str">
        <f>IF(A169="","",Inputs!$C$6*EXP((Inputs!$C$8-Inputs!$C$7)*A169))</f>
        <v/>
      </c>
      <c r="D169" s="22" t="str">
        <f t="shared" si="1"/>
        <v/>
      </c>
      <c r="E169" s="21" t="str">
        <f>IF(A169="","",EXP(-Inputs!$C$8*A169))</f>
        <v/>
      </c>
      <c r="F169" s="22" t="str">
        <f t="shared" si="2"/>
        <v/>
      </c>
    </row>
    <row r="170">
      <c r="A170" s="18" t="str">
        <f>'Cashflow Schedule'!B170</f>
        <v/>
      </c>
      <c r="B170" s="18" t="str">
        <f>'Cashflow Schedule'!E170</f>
        <v/>
      </c>
      <c r="C170" s="22" t="str">
        <f>IF(A170="","",Inputs!$C$6*EXP((Inputs!$C$8-Inputs!$C$7)*A170))</f>
        <v/>
      </c>
      <c r="D170" s="22" t="str">
        <f t="shared" si="1"/>
        <v/>
      </c>
      <c r="E170" s="21" t="str">
        <f>IF(A170="","",EXP(-Inputs!$C$8*A170))</f>
        <v/>
      </c>
      <c r="F170" s="22" t="str">
        <f t="shared" si="2"/>
        <v/>
      </c>
    </row>
    <row r="171">
      <c r="A171" s="18" t="str">
        <f>'Cashflow Schedule'!B171</f>
        <v/>
      </c>
      <c r="B171" s="18" t="str">
        <f>'Cashflow Schedule'!E171</f>
        <v/>
      </c>
      <c r="C171" s="22" t="str">
        <f>IF(A171="","",Inputs!$C$6*EXP((Inputs!$C$8-Inputs!$C$7)*A171))</f>
        <v/>
      </c>
      <c r="D171" s="22" t="str">
        <f t="shared" si="1"/>
        <v/>
      </c>
      <c r="E171" s="21" t="str">
        <f>IF(A171="","",EXP(-Inputs!$C$8*A171))</f>
        <v/>
      </c>
      <c r="F171" s="22" t="str">
        <f t="shared" si="2"/>
        <v/>
      </c>
    </row>
    <row r="172">
      <c r="A172" s="18" t="str">
        <f>'Cashflow Schedule'!B172</f>
        <v/>
      </c>
      <c r="B172" s="18" t="str">
        <f>'Cashflow Schedule'!E172</f>
        <v/>
      </c>
      <c r="C172" s="22" t="str">
        <f>IF(A172="","",Inputs!$C$6*EXP((Inputs!$C$8-Inputs!$C$7)*A172))</f>
        <v/>
      </c>
      <c r="D172" s="22" t="str">
        <f t="shared" si="1"/>
        <v/>
      </c>
      <c r="E172" s="21" t="str">
        <f>IF(A172="","",EXP(-Inputs!$C$8*A172))</f>
        <v/>
      </c>
      <c r="F172" s="22" t="str">
        <f t="shared" si="2"/>
        <v/>
      </c>
    </row>
    <row r="173">
      <c r="A173" s="18" t="str">
        <f>'Cashflow Schedule'!B173</f>
        <v/>
      </c>
      <c r="B173" s="18" t="str">
        <f>'Cashflow Schedule'!E173</f>
        <v/>
      </c>
      <c r="C173" s="22" t="str">
        <f>IF(A173="","",Inputs!$C$6*EXP((Inputs!$C$8-Inputs!$C$7)*A173))</f>
        <v/>
      </c>
      <c r="D173" s="22" t="str">
        <f t="shared" si="1"/>
        <v/>
      </c>
      <c r="E173" s="21" t="str">
        <f>IF(A173="","",EXP(-Inputs!$C$8*A173))</f>
        <v/>
      </c>
      <c r="F173" s="22" t="str">
        <f t="shared" si="2"/>
        <v/>
      </c>
    </row>
    <row r="174">
      <c r="A174" s="18" t="str">
        <f>'Cashflow Schedule'!B174</f>
        <v/>
      </c>
      <c r="B174" s="18" t="str">
        <f>'Cashflow Schedule'!E174</f>
        <v/>
      </c>
      <c r="C174" s="22" t="str">
        <f>IF(A174="","",Inputs!$C$6*EXP((Inputs!$C$8-Inputs!$C$7)*A174))</f>
        <v/>
      </c>
      <c r="D174" s="22" t="str">
        <f t="shared" si="1"/>
        <v/>
      </c>
      <c r="E174" s="21" t="str">
        <f>IF(A174="","",EXP(-Inputs!$C$8*A174))</f>
        <v/>
      </c>
      <c r="F174" s="22" t="str">
        <f t="shared" si="2"/>
        <v/>
      </c>
    </row>
    <row r="175">
      <c r="A175" s="18" t="str">
        <f>'Cashflow Schedule'!B175</f>
        <v/>
      </c>
      <c r="B175" s="18" t="str">
        <f>'Cashflow Schedule'!E175</f>
        <v/>
      </c>
      <c r="C175" s="22" t="str">
        <f>IF(A175="","",Inputs!$C$6*EXP((Inputs!$C$8-Inputs!$C$7)*A175))</f>
        <v/>
      </c>
      <c r="D175" s="22" t="str">
        <f t="shared" si="1"/>
        <v/>
      </c>
      <c r="E175" s="21" t="str">
        <f>IF(A175="","",EXP(-Inputs!$C$8*A175))</f>
        <v/>
      </c>
      <c r="F175" s="22" t="str">
        <f t="shared" si="2"/>
        <v/>
      </c>
    </row>
    <row r="176">
      <c r="A176" s="18" t="str">
        <f>'Cashflow Schedule'!B176</f>
        <v/>
      </c>
      <c r="B176" s="18" t="str">
        <f>'Cashflow Schedule'!E176</f>
        <v/>
      </c>
      <c r="C176" s="22" t="str">
        <f>IF(A176="","",Inputs!$C$6*EXP((Inputs!$C$8-Inputs!$C$7)*A176))</f>
        <v/>
      </c>
      <c r="D176" s="22" t="str">
        <f t="shared" si="1"/>
        <v/>
      </c>
      <c r="E176" s="21" t="str">
        <f>IF(A176="","",EXP(-Inputs!$C$8*A176))</f>
        <v/>
      </c>
      <c r="F176" s="22" t="str">
        <f t="shared" si="2"/>
        <v/>
      </c>
    </row>
    <row r="177">
      <c r="A177" s="18" t="str">
        <f>'Cashflow Schedule'!B177</f>
        <v/>
      </c>
      <c r="B177" s="18" t="str">
        <f>'Cashflow Schedule'!E177</f>
        <v/>
      </c>
      <c r="C177" s="22" t="str">
        <f>IF(A177="","",Inputs!$C$6*EXP((Inputs!$C$8-Inputs!$C$7)*A177))</f>
        <v/>
      </c>
      <c r="D177" s="22" t="str">
        <f t="shared" si="1"/>
        <v/>
      </c>
      <c r="E177" s="21" t="str">
        <f>IF(A177="","",EXP(-Inputs!$C$8*A177))</f>
        <v/>
      </c>
      <c r="F177" s="22" t="str">
        <f t="shared" si="2"/>
        <v/>
      </c>
    </row>
    <row r="178">
      <c r="A178" s="18" t="str">
        <f>'Cashflow Schedule'!B178</f>
        <v/>
      </c>
      <c r="B178" s="18" t="str">
        <f>'Cashflow Schedule'!E178</f>
        <v/>
      </c>
      <c r="C178" s="22" t="str">
        <f>IF(A178="","",Inputs!$C$6*EXP((Inputs!$C$8-Inputs!$C$7)*A178))</f>
        <v/>
      </c>
      <c r="D178" s="22" t="str">
        <f t="shared" si="1"/>
        <v/>
      </c>
      <c r="E178" s="21" t="str">
        <f>IF(A178="","",EXP(-Inputs!$C$8*A178))</f>
        <v/>
      </c>
      <c r="F178" s="22" t="str">
        <f t="shared" si="2"/>
        <v/>
      </c>
    </row>
    <row r="179">
      <c r="A179" s="18" t="str">
        <f>'Cashflow Schedule'!B179</f>
        <v/>
      </c>
      <c r="B179" s="18" t="str">
        <f>'Cashflow Schedule'!E179</f>
        <v/>
      </c>
      <c r="C179" s="22" t="str">
        <f>IF(A179="","",Inputs!$C$6*EXP((Inputs!$C$8-Inputs!$C$7)*A179))</f>
        <v/>
      </c>
      <c r="D179" s="22" t="str">
        <f t="shared" si="1"/>
        <v/>
      </c>
      <c r="E179" s="21" t="str">
        <f>IF(A179="","",EXP(-Inputs!$C$8*A179))</f>
        <v/>
      </c>
      <c r="F179" s="22" t="str">
        <f t="shared" si="2"/>
        <v/>
      </c>
    </row>
    <row r="180">
      <c r="A180" s="18" t="str">
        <f>'Cashflow Schedule'!B180</f>
        <v/>
      </c>
      <c r="B180" s="18" t="str">
        <f>'Cashflow Schedule'!E180</f>
        <v/>
      </c>
      <c r="C180" s="22" t="str">
        <f>IF(A180="","",Inputs!$C$6*EXP((Inputs!$C$8-Inputs!$C$7)*A180))</f>
        <v/>
      </c>
      <c r="D180" s="22" t="str">
        <f t="shared" si="1"/>
        <v/>
      </c>
      <c r="E180" s="21" t="str">
        <f>IF(A180="","",EXP(-Inputs!$C$8*A180))</f>
        <v/>
      </c>
      <c r="F180" s="22" t="str">
        <f t="shared" si="2"/>
        <v/>
      </c>
    </row>
    <row r="181">
      <c r="A181" s="18" t="str">
        <f>'Cashflow Schedule'!B181</f>
        <v/>
      </c>
      <c r="B181" s="18" t="str">
        <f>'Cashflow Schedule'!E181</f>
        <v/>
      </c>
      <c r="C181" s="22" t="str">
        <f>IF(A181="","",Inputs!$C$6*EXP((Inputs!$C$8-Inputs!$C$7)*A181))</f>
        <v/>
      </c>
      <c r="D181" s="22" t="str">
        <f t="shared" si="1"/>
        <v/>
      </c>
      <c r="E181" s="21" t="str">
        <f>IF(A181="","",EXP(-Inputs!$C$8*A181))</f>
        <v/>
      </c>
      <c r="F181" s="22" t="str">
        <f t="shared" si="2"/>
        <v/>
      </c>
    </row>
    <row r="182">
      <c r="A182" s="18" t="str">
        <f>'Cashflow Schedule'!B182</f>
        <v/>
      </c>
      <c r="B182" s="18" t="str">
        <f>'Cashflow Schedule'!E182</f>
        <v/>
      </c>
      <c r="C182" s="22" t="str">
        <f>IF(A182="","",Inputs!$C$6*EXP((Inputs!$C$8-Inputs!$C$7)*A182))</f>
        <v/>
      </c>
      <c r="D182" s="22" t="str">
        <f t="shared" si="1"/>
        <v/>
      </c>
      <c r="E182" s="21" t="str">
        <f>IF(A182="","",EXP(-Inputs!$C$8*A182))</f>
        <v/>
      </c>
      <c r="F182" s="22" t="str">
        <f t="shared" si="2"/>
        <v/>
      </c>
    </row>
    <row r="183">
      <c r="A183" s="18" t="str">
        <f>'Cashflow Schedule'!B183</f>
        <v/>
      </c>
      <c r="B183" s="18" t="str">
        <f>'Cashflow Schedule'!E183</f>
        <v/>
      </c>
      <c r="C183" s="22" t="str">
        <f>IF(A183="","",Inputs!$C$6*EXP((Inputs!$C$8-Inputs!$C$7)*A183))</f>
        <v/>
      </c>
      <c r="D183" s="22" t="str">
        <f t="shared" si="1"/>
        <v/>
      </c>
      <c r="E183" s="21" t="str">
        <f>IF(A183="","",EXP(-Inputs!$C$8*A183))</f>
        <v/>
      </c>
      <c r="F183" s="22" t="str">
        <f t="shared" si="2"/>
        <v/>
      </c>
    </row>
    <row r="184">
      <c r="A184" s="18" t="str">
        <f>'Cashflow Schedule'!B184</f>
        <v/>
      </c>
      <c r="B184" s="18" t="str">
        <f>'Cashflow Schedule'!E184</f>
        <v/>
      </c>
      <c r="C184" s="22" t="str">
        <f>IF(A184="","",Inputs!$C$6*EXP((Inputs!$C$8-Inputs!$C$7)*A184))</f>
        <v/>
      </c>
      <c r="D184" s="22" t="str">
        <f t="shared" si="1"/>
        <v/>
      </c>
      <c r="E184" s="21" t="str">
        <f>IF(A184="","",EXP(-Inputs!$C$8*A184))</f>
        <v/>
      </c>
      <c r="F184" s="22" t="str">
        <f t="shared" si="2"/>
        <v/>
      </c>
    </row>
    <row r="185">
      <c r="A185" s="18" t="str">
        <f>'Cashflow Schedule'!B185</f>
        <v/>
      </c>
      <c r="B185" s="18" t="str">
        <f>'Cashflow Schedule'!E185</f>
        <v/>
      </c>
      <c r="C185" s="22" t="str">
        <f>IF(A185="","",Inputs!$C$6*EXP((Inputs!$C$8-Inputs!$C$7)*A185))</f>
        <v/>
      </c>
      <c r="D185" s="22" t="str">
        <f t="shared" si="1"/>
        <v/>
      </c>
      <c r="E185" s="21" t="str">
        <f>IF(A185="","",EXP(-Inputs!$C$8*A185))</f>
        <v/>
      </c>
      <c r="F185" s="22" t="str">
        <f t="shared" si="2"/>
        <v/>
      </c>
    </row>
    <row r="186">
      <c r="A186" s="18" t="str">
        <f>'Cashflow Schedule'!B186</f>
        <v/>
      </c>
      <c r="B186" s="18" t="str">
        <f>'Cashflow Schedule'!E186</f>
        <v/>
      </c>
      <c r="C186" s="22" t="str">
        <f>IF(A186="","",Inputs!$C$6*EXP((Inputs!$C$8-Inputs!$C$7)*A186))</f>
        <v/>
      </c>
      <c r="D186" s="22" t="str">
        <f t="shared" si="1"/>
        <v/>
      </c>
      <c r="E186" s="21" t="str">
        <f>IF(A186="","",EXP(-Inputs!$C$8*A186))</f>
        <v/>
      </c>
      <c r="F186" s="22" t="str">
        <f t="shared" si="2"/>
        <v/>
      </c>
    </row>
    <row r="187">
      <c r="A187" s="18" t="str">
        <f>'Cashflow Schedule'!B187</f>
        <v/>
      </c>
      <c r="B187" s="18" t="str">
        <f>'Cashflow Schedule'!E187</f>
        <v/>
      </c>
      <c r="C187" s="22" t="str">
        <f>IF(A187="","",Inputs!$C$6*EXP((Inputs!$C$8-Inputs!$C$7)*A187))</f>
        <v/>
      </c>
      <c r="D187" s="22" t="str">
        <f t="shared" si="1"/>
        <v/>
      </c>
      <c r="E187" s="21" t="str">
        <f>IF(A187="","",EXP(-Inputs!$C$8*A187))</f>
        <v/>
      </c>
      <c r="F187" s="22" t="str">
        <f t="shared" si="2"/>
        <v/>
      </c>
    </row>
    <row r="188">
      <c r="A188" s="18" t="str">
        <f>'Cashflow Schedule'!B188</f>
        <v/>
      </c>
      <c r="B188" s="18" t="str">
        <f>'Cashflow Schedule'!E188</f>
        <v/>
      </c>
      <c r="C188" s="22" t="str">
        <f>IF(A188="","",Inputs!$C$6*EXP((Inputs!$C$8-Inputs!$C$7)*A188))</f>
        <v/>
      </c>
      <c r="D188" s="22" t="str">
        <f t="shared" si="1"/>
        <v/>
      </c>
      <c r="E188" s="21" t="str">
        <f>IF(A188="","",EXP(-Inputs!$C$8*A188))</f>
        <v/>
      </c>
      <c r="F188" s="22" t="str">
        <f t="shared" si="2"/>
        <v/>
      </c>
    </row>
    <row r="189">
      <c r="A189" s="18" t="str">
        <f>'Cashflow Schedule'!B189</f>
        <v/>
      </c>
      <c r="B189" s="18" t="str">
        <f>'Cashflow Schedule'!E189</f>
        <v/>
      </c>
      <c r="C189" s="22" t="str">
        <f>IF(A189="","",Inputs!$C$6*EXP((Inputs!$C$8-Inputs!$C$7)*A189))</f>
        <v/>
      </c>
      <c r="D189" s="22" t="str">
        <f t="shared" si="1"/>
        <v/>
      </c>
      <c r="E189" s="21" t="str">
        <f>IF(A189="","",EXP(-Inputs!$C$8*A189))</f>
        <v/>
      </c>
      <c r="F189" s="22" t="str">
        <f t="shared" si="2"/>
        <v/>
      </c>
    </row>
    <row r="190">
      <c r="A190" s="18" t="str">
        <f>'Cashflow Schedule'!B190</f>
        <v/>
      </c>
      <c r="B190" s="18" t="str">
        <f>'Cashflow Schedule'!E190</f>
        <v/>
      </c>
      <c r="C190" s="22" t="str">
        <f>IF(A190="","",Inputs!$C$6*EXP((Inputs!$C$8-Inputs!$C$7)*A190))</f>
        <v/>
      </c>
      <c r="D190" s="22" t="str">
        <f t="shared" si="1"/>
        <v/>
      </c>
      <c r="E190" s="21" t="str">
        <f>IF(A190="","",EXP(-Inputs!$C$8*A190))</f>
        <v/>
      </c>
      <c r="F190" s="22" t="str">
        <f t="shared" si="2"/>
        <v/>
      </c>
    </row>
    <row r="191">
      <c r="A191" s="18" t="str">
        <f>'Cashflow Schedule'!B191</f>
        <v/>
      </c>
      <c r="B191" s="18" t="str">
        <f>'Cashflow Schedule'!E191</f>
        <v/>
      </c>
      <c r="C191" s="22" t="str">
        <f>IF(A191="","",Inputs!$C$6*EXP((Inputs!$C$8-Inputs!$C$7)*A191))</f>
        <v/>
      </c>
      <c r="D191" s="22" t="str">
        <f t="shared" si="1"/>
        <v/>
      </c>
      <c r="E191" s="21" t="str">
        <f>IF(A191="","",EXP(-Inputs!$C$8*A191))</f>
        <v/>
      </c>
      <c r="F191" s="22" t="str">
        <f t="shared" si="2"/>
        <v/>
      </c>
    </row>
    <row r="192">
      <c r="A192" s="18" t="str">
        <f>'Cashflow Schedule'!B192</f>
        <v/>
      </c>
      <c r="B192" s="18" t="str">
        <f>'Cashflow Schedule'!E192</f>
        <v/>
      </c>
      <c r="C192" s="22" t="str">
        <f>IF(A192="","",Inputs!$C$6*EXP((Inputs!$C$8-Inputs!$C$7)*A192))</f>
        <v/>
      </c>
      <c r="D192" s="22" t="str">
        <f t="shared" si="1"/>
        <v/>
      </c>
      <c r="E192" s="21" t="str">
        <f>IF(A192="","",EXP(-Inputs!$C$8*A192))</f>
        <v/>
      </c>
      <c r="F192" s="22" t="str">
        <f t="shared" si="2"/>
        <v/>
      </c>
    </row>
    <row r="193">
      <c r="A193" s="18" t="str">
        <f>'Cashflow Schedule'!B193</f>
        <v/>
      </c>
      <c r="B193" s="18" t="str">
        <f>'Cashflow Schedule'!E193</f>
        <v/>
      </c>
      <c r="C193" s="22" t="str">
        <f>IF(A193="","",Inputs!$C$6*EXP((Inputs!$C$8-Inputs!$C$7)*A193))</f>
        <v/>
      </c>
      <c r="D193" s="22" t="str">
        <f t="shared" si="1"/>
        <v/>
      </c>
      <c r="E193" s="21" t="str">
        <f>IF(A193="","",EXP(-Inputs!$C$8*A193))</f>
        <v/>
      </c>
      <c r="F193" s="22" t="str">
        <f t="shared" si="2"/>
        <v/>
      </c>
    </row>
    <row r="194">
      <c r="A194" s="18" t="str">
        <f>'Cashflow Schedule'!B194</f>
        <v/>
      </c>
      <c r="B194" s="18" t="str">
        <f>'Cashflow Schedule'!E194</f>
        <v/>
      </c>
      <c r="C194" s="22" t="str">
        <f>IF(A194="","",Inputs!$C$6*EXP((Inputs!$C$8-Inputs!$C$7)*A194))</f>
        <v/>
      </c>
      <c r="D194" s="22" t="str">
        <f t="shared" si="1"/>
        <v/>
      </c>
      <c r="E194" s="21" t="str">
        <f>IF(A194="","",EXP(-Inputs!$C$8*A194))</f>
        <v/>
      </c>
      <c r="F194" s="22" t="str">
        <f t="shared" si="2"/>
        <v/>
      </c>
    </row>
    <row r="195">
      <c r="A195" s="18" t="str">
        <f>'Cashflow Schedule'!B195</f>
        <v/>
      </c>
      <c r="B195" s="18" t="str">
        <f>'Cashflow Schedule'!E195</f>
        <v/>
      </c>
      <c r="C195" s="22" t="str">
        <f>IF(A195="","",Inputs!$C$6*EXP((Inputs!$C$8-Inputs!$C$7)*A195))</f>
        <v/>
      </c>
      <c r="D195" s="22" t="str">
        <f t="shared" si="1"/>
        <v/>
      </c>
      <c r="E195" s="21" t="str">
        <f>IF(A195="","",EXP(-Inputs!$C$8*A195))</f>
        <v/>
      </c>
      <c r="F195" s="22" t="str">
        <f t="shared" si="2"/>
        <v/>
      </c>
    </row>
    <row r="196">
      <c r="A196" s="18" t="str">
        <f>'Cashflow Schedule'!B196</f>
        <v/>
      </c>
      <c r="B196" s="18" t="str">
        <f>'Cashflow Schedule'!E196</f>
        <v/>
      </c>
      <c r="C196" s="22" t="str">
        <f>IF(A196="","",Inputs!$C$6*EXP((Inputs!$C$8-Inputs!$C$7)*A196))</f>
        <v/>
      </c>
      <c r="D196" s="22" t="str">
        <f t="shared" si="1"/>
        <v/>
      </c>
      <c r="E196" s="21" t="str">
        <f>IF(A196="","",EXP(-Inputs!$C$8*A196))</f>
        <v/>
      </c>
      <c r="F196" s="22" t="str">
        <f t="shared" si="2"/>
        <v/>
      </c>
    </row>
    <row r="197">
      <c r="A197" s="18" t="str">
        <f>'Cashflow Schedule'!B197</f>
        <v/>
      </c>
      <c r="B197" s="18" t="str">
        <f>'Cashflow Schedule'!E197</f>
        <v/>
      </c>
      <c r="C197" s="22" t="str">
        <f>IF(A197="","",Inputs!$C$6*EXP((Inputs!$C$8-Inputs!$C$7)*A197))</f>
        <v/>
      </c>
      <c r="D197" s="22" t="str">
        <f t="shared" si="1"/>
        <v/>
      </c>
      <c r="E197" s="21" t="str">
        <f>IF(A197="","",EXP(-Inputs!$C$8*A197))</f>
        <v/>
      </c>
      <c r="F197" s="22" t="str">
        <f t="shared" si="2"/>
        <v/>
      </c>
    </row>
    <row r="198">
      <c r="A198" s="18" t="str">
        <f>'Cashflow Schedule'!B198</f>
        <v/>
      </c>
      <c r="B198" s="18" t="str">
        <f>'Cashflow Schedule'!E198</f>
        <v/>
      </c>
      <c r="C198" s="22" t="str">
        <f>IF(A198="","",Inputs!$C$6*EXP((Inputs!$C$8-Inputs!$C$7)*A198))</f>
        <v/>
      </c>
      <c r="D198" s="22" t="str">
        <f t="shared" si="1"/>
        <v/>
      </c>
      <c r="E198" s="21" t="str">
        <f>IF(A198="","",EXP(-Inputs!$C$8*A198))</f>
        <v/>
      </c>
      <c r="F198" s="22" t="str">
        <f t="shared" si="2"/>
        <v/>
      </c>
    </row>
    <row r="199">
      <c r="A199" s="18" t="str">
        <f>'Cashflow Schedule'!B199</f>
        <v/>
      </c>
      <c r="B199" s="18" t="str">
        <f>'Cashflow Schedule'!E199</f>
        <v/>
      </c>
      <c r="C199" s="22" t="str">
        <f>IF(A199="","",Inputs!$C$6*EXP((Inputs!$C$8-Inputs!$C$7)*A199))</f>
        <v/>
      </c>
      <c r="D199" s="22" t="str">
        <f t="shared" si="1"/>
        <v/>
      </c>
      <c r="E199" s="21" t="str">
        <f>IF(A199="","",EXP(-Inputs!$C$8*A199))</f>
        <v/>
      </c>
      <c r="F199" s="22" t="str">
        <f t="shared" si="2"/>
        <v/>
      </c>
    </row>
    <row r="200">
      <c r="A200" s="18" t="str">
        <f>'Cashflow Schedule'!B200</f>
        <v/>
      </c>
      <c r="B200" s="18" t="str">
        <f>'Cashflow Schedule'!E200</f>
        <v/>
      </c>
      <c r="C200" s="22" t="str">
        <f>IF(A200="","",Inputs!$C$6*EXP((Inputs!$C$8-Inputs!$C$7)*A200))</f>
        <v/>
      </c>
      <c r="D200" s="22" t="str">
        <f t="shared" si="1"/>
        <v/>
      </c>
      <c r="E200" s="21" t="str">
        <f>IF(A200="","",EXP(-Inputs!$C$8*A200))</f>
        <v/>
      </c>
      <c r="F200" s="22" t="str">
        <f t="shared" si="2"/>
        <v/>
      </c>
    </row>
    <row r="201">
      <c r="A201" s="18" t="str">
        <f>'Cashflow Schedule'!B201</f>
        <v/>
      </c>
      <c r="B201" s="18" t="str">
        <f>'Cashflow Schedule'!E201</f>
        <v/>
      </c>
      <c r="C201" s="22" t="str">
        <f>IF(A201="","",Inputs!$C$6*EXP((Inputs!$C$8-Inputs!$C$7)*A201))</f>
        <v/>
      </c>
      <c r="D201" s="22" t="str">
        <f t="shared" si="1"/>
        <v/>
      </c>
      <c r="E201" s="21" t="str">
        <f>IF(A201="","",EXP(-Inputs!$C$8*A201))</f>
        <v/>
      </c>
      <c r="F201" s="22" t="str">
        <f t="shared" si="2"/>
        <v/>
      </c>
    </row>
    <row r="202">
      <c r="A202" s="18" t="str">
        <f>'Cashflow Schedule'!B202</f>
        <v/>
      </c>
      <c r="B202" s="18" t="str">
        <f>'Cashflow Schedule'!E202</f>
        <v/>
      </c>
      <c r="C202" s="22" t="str">
        <f>IF(A202="","",Inputs!$C$6*EXP((Inputs!$C$8-Inputs!$C$7)*A202))</f>
        <v/>
      </c>
      <c r="D202" s="22" t="str">
        <f t="shared" si="1"/>
        <v/>
      </c>
      <c r="E202" s="21" t="str">
        <f>IF(A202="","",EXP(-Inputs!$C$8*A202))</f>
        <v/>
      </c>
      <c r="F202" s="22" t="str">
        <f t="shared" si="2"/>
        <v/>
      </c>
    </row>
    <row r="203">
      <c r="A203" s="18" t="str">
        <f>'Cashflow Schedule'!B203</f>
        <v/>
      </c>
      <c r="B203" s="18" t="str">
        <f>'Cashflow Schedule'!E203</f>
        <v/>
      </c>
      <c r="C203" s="22" t="str">
        <f>IF(A203="","",Inputs!$C$6*EXP((Inputs!$C$8-Inputs!$C$7)*A203))</f>
        <v/>
      </c>
      <c r="D203" s="22" t="str">
        <f t="shared" si="1"/>
        <v/>
      </c>
      <c r="E203" s="21" t="str">
        <f>IF(A203="","",EXP(-Inputs!$C$8*A203))</f>
        <v/>
      </c>
      <c r="F203" s="22" t="str">
        <f t="shared" si="2"/>
        <v/>
      </c>
    </row>
    <row r="204">
      <c r="A204" s="18" t="str">
        <f>'Cashflow Schedule'!B204</f>
        <v/>
      </c>
      <c r="B204" s="18" t="str">
        <f>'Cashflow Schedule'!E204</f>
        <v/>
      </c>
      <c r="C204" s="22" t="str">
        <f>IF(A204="","",Inputs!$C$6*EXP((Inputs!$C$8-Inputs!$C$7)*A204))</f>
        <v/>
      </c>
      <c r="D204" s="22" t="str">
        <f t="shared" si="1"/>
        <v/>
      </c>
      <c r="E204" s="21" t="str">
        <f>IF(A204="","",EXP(-Inputs!$C$8*A204))</f>
        <v/>
      </c>
      <c r="F204" s="22" t="str">
        <f t="shared" si="2"/>
        <v/>
      </c>
    </row>
    <row r="205">
      <c r="A205" s="18" t="str">
        <f>'Cashflow Schedule'!B205</f>
        <v/>
      </c>
      <c r="B205" s="18" t="str">
        <f>'Cashflow Schedule'!E205</f>
        <v/>
      </c>
      <c r="C205" s="22" t="str">
        <f>IF(A205="","",Inputs!$C$6*EXP((Inputs!$C$8-Inputs!$C$7)*A205))</f>
        <v/>
      </c>
      <c r="D205" s="22" t="str">
        <f t="shared" si="1"/>
        <v/>
      </c>
      <c r="E205" s="21" t="str">
        <f>IF(A205="","",EXP(-Inputs!$C$8*A205))</f>
        <v/>
      </c>
      <c r="F205" s="22" t="str">
        <f t="shared" si="2"/>
        <v/>
      </c>
    </row>
    <row r="206">
      <c r="A206" s="18" t="str">
        <f>'Cashflow Schedule'!B206</f>
        <v/>
      </c>
      <c r="B206" s="18" t="str">
        <f>'Cashflow Schedule'!E206</f>
        <v/>
      </c>
      <c r="C206" s="22" t="str">
        <f>IF(A206="","",Inputs!$C$6*EXP((Inputs!$C$8-Inputs!$C$7)*A206))</f>
        <v/>
      </c>
      <c r="D206" s="22" t="str">
        <f t="shared" si="1"/>
        <v/>
      </c>
      <c r="E206" s="21" t="str">
        <f>IF(A206="","",EXP(-Inputs!$C$8*A206))</f>
        <v/>
      </c>
      <c r="F206" s="22" t="str">
        <f t="shared" si="2"/>
        <v/>
      </c>
    </row>
    <row r="207">
      <c r="A207" s="18" t="str">
        <f>'Cashflow Schedule'!B207</f>
        <v/>
      </c>
      <c r="B207" s="18" t="str">
        <f>'Cashflow Schedule'!E207</f>
        <v/>
      </c>
      <c r="C207" s="22" t="str">
        <f>IF(A207="","",Inputs!$C$6*EXP((Inputs!$C$8-Inputs!$C$7)*A207))</f>
        <v/>
      </c>
      <c r="D207" s="22" t="str">
        <f t="shared" si="1"/>
        <v/>
      </c>
      <c r="E207" s="21" t="str">
        <f>IF(A207="","",EXP(-Inputs!$C$8*A207))</f>
        <v/>
      </c>
      <c r="F207" s="22" t="str">
        <f t="shared" si="2"/>
        <v/>
      </c>
    </row>
    <row r="208">
      <c r="A208" s="18" t="str">
        <f>'Cashflow Schedule'!B208</f>
        <v/>
      </c>
      <c r="B208" s="18" t="str">
        <f>'Cashflow Schedule'!E208</f>
        <v/>
      </c>
      <c r="C208" s="22" t="str">
        <f>IF(A208="","",Inputs!$C$6*EXP((Inputs!$C$8-Inputs!$C$7)*A208))</f>
        <v/>
      </c>
      <c r="D208" s="22" t="str">
        <f t="shared" si="1"/>
        <v/>
      </c>
      <c r="E208" s="21" t="str">
        <f>IF(A208="","",EXP(-Inputs!$C$8*A208))</f>
        <v/>
      </c>
      <c r="F208" s="22" t="str">
        <f t="shared" si="2"/>
        <v/>
      </c>
    </row>
    <row r="209">
      <c r="A209" s="18" t="str">
        <f>'Cashflow Schedule'!B209</f>
        <v/>
      </c>
      <c r="B209" s="18" t="str">
        <f>'Cashflow Schedule'!E209</f>
        <v/>
      </c>
      <c r="C209" s="22" t="str">
        <f>IF(A209="","",Inputs!$C$6*EXP((Inputs!$C$8-Inputs!$C$7)*A209))</f>
        <v/>
      </c>
      <c r="D209" s="22" t="str">
        <f t="shared" si="1"/>
        <v/>
      </c>
      <c r="E209" s="21" t="str">
        <f>IF(A209="","",EXP(-Inputs!$C$8*A209))</f>
        <v/>
      </c>
      <c r="F209" s="22" t="str">
        <f t="shared" si="2"/>
        <v/>
      </c>
    </row>
    <row r="210">
      <c r="A210" s="18" t="str">
        <f>'Cashflow Schedule'!B210</f>
        <v/>
      </c>
      <c r="B210" s="18" t="str">
        <f>'Cashflow Schedule'!E210</f>
        <v/>
      </c>
      <c r="C210" s="22" t="str">
        <f>IF(A210="","",Inputs!$C$6*EXP((Inputs!$C$8-Inputs!$C$7)*A210))</f>
        <v/>
      </c>
      <c r="D210" s="22" t="str">
        <f t="shared" si="1"/>
        <v/>
      </c>
      <c r="E210" s="21" t="str">
        <f>IF(A210="","",EXP(-Inputs!$C$8*A210))</f>
        <v/>
      </c>
      <c r="F210" s="22" t="str">
        <f t="shared" si="2"/>
        <v/>
      </c>
    </row>
    <row r="211">
      <c r="A211" s="18" t="str">
        <f>'Cashflow Schedule'!B211</f>
        <v/>
      </c>
      <c r="B211" s="18" t="str">
        <f>'Cashflow Schedule'!E211</f>
        <v/>
      </c>
      <c r="C211" s="22" t="str">
        <f>IF(A211="","",Inputs!$C$6*EXP((Inputs!$C$8-Inputs!$C$7)*A211))</f>
        <v/>
      </c>
      <c r="D211" s="22" t="str">
        <f t="shared" si="1"/>
        <v/>
      </c>
      <c r="E211" s="21" t="str">
        <f>IF(A211="","",EXP(-Inputs!$C$8*A211))</f>
        <v/>
      </c>
      <c r="F211" s="22" t="str">
        <f t="shared" si="2"/>
        <v/>
      </c>
    </row>
    <row r="212">
      <c r="A212" s="18" t="str">
        <f>'Cashflow Schedule'!B212</f>
        <v/>
      </c>
      <c r="B212" s="18" t="str">
        <f>'Cashflow Schedule'!E212</f>
        <v/>
      </c>
      <c r="C212" s="22" t="str">
        <f>IF(A212="","",Inputs!$C$6*EXP((Inputs!$C$8-Inputs!$C$7)*A212))</f>
        <v/>
      </c>
      <c r="D212" s="22" t="str">
        <f t="shared" si="1"/>
        <v/>
      </c>
      <c r="E212" s="21" t="str">
        <f>IF(A212="","",EXP(-Inputs!$C$8*A212))</f>
        <v/>
      </c>
      <c r="F212" s="22" t="str">
        <f t="shared" si="2"/>
        <v/>
      </c>
    </row>
    <row r="213">
      <c r="A213" s="18" t="str">
        <f>'Cashflow Schedule'!B213</f>
        <v/>
      </c>
      <c r="B213" s="18" t="str">
        <f>'Cashflow Schedule'!E213</f>
        <v/>
      </c>
      <c r="C213" s="22" t="str">
        <f>IF(A213="","",Inputs!$C$6*EXP((Inputs!$C$8-Inputs!$C$7)*A213))</f>
        <v/>
      </c>
      <c r="D213" s="22" t="str">
        <f t="shared" si="1"/>
        <v/>
      </c>
      <c r="E213" s="21" t="str">
        <f>IF(A213="","",EXP(-Inputs!$C$8*A213))</f>
        <v/>
      </c>
      <c r="F213" s="22" t="str">
        <f t="shared" si="2"/>
        <v/>
      </c>
    </row>
    <row r="214">
      <c r="A214" s="18" t="str">
        <f>'Cashflow Schedule'!B214</f>
        <v/>
      </c>
      <c r="B214" s="18" t="str">
        <f>'Cashflow Schedule'!E214</f>
        <v/>
      </c>
      <c r="C214" s="22" t="str">
        <f>IF(A214="","",Inputs!$C$6*EXP((Inputs!$C$8-Inputs!$C$7)*A214))</f>
        <v/>
      </c>
      <c r="D214" s="22" t="str">
        <f t="shared" si="1"/>
        <v/>
      </c>
      <c r="E214" s="21" t="str">
        <f>IF(A214="","",EXP(-Inputs!$C$8*A214))</f>
        <v/>
      </c>
      <c r="F214" s="22" t="str">
        <f t="shared" si="2"/>
        <v/>
      </c>
    </row>
    <row r="215">
      <c r="A215" s="18" t="str">
        <f>'Cashflow Schedule'!B215</f>
        <v/>
      </c>
      <c r="B215" s="18" t="str">
        <f>'Cashflow Schedule'!E215</f>
        <v/>
      </c>
      <c r="C215" s="22" t="str">
        <f>IF(A215="","",Inputs!$C$6*EXP((Inputs!$C$8-Inputs!$C$7)*A215))</f>
        <v/>
      </c>
      <c r="D215" s="22" t="str">
        <f t="shared" si="1"/>
        <v/>
      </c>
      <c r="E215" s="21" t="str">
        <f>IF(A215="","",EXP(-Inputs!$C$8*A215))</f>
        <v/>
      </c>
      <c r="F215" s="22" t="str">
        <f t="shared" si="2"/>
        <v/>
      </c>
    </row>
    <row r="216">
      <c r="A216" s="18" t="str">
        <f>'Cashflow Schedule'!B216</f>
        <v/>
      </c>
      <c r="B216" s="18" t="str">
        <f>'Cashflow Schedule'!E216</f>
        <v/>
      </c>
      <c r="C216" s="22" t="str">
        <f>IF(A216="","",Inputs!$C$6*EXP((Inputs!$C$8-Inputs!$C$7)*A216))</f>
        <v/>
      </c>
      <c r="D216" s="22" t="str">
        <f t="shared" si="1"/>
        <v/>
      </c>
      <c r="E216" s="21" t="str">
        <f>IF(A216="","",EXP(-Inputs!$C$8*A216))</f>
        <v/>
      </c>
      <c r="F216" s="22" t="str">
        <f t="shared" si="2"/>
        <v/>
      </c>
    </row>
    <row r="217">
      <c r="A217" s="18" t="str">
        <f>'Cashflow Schedule'!B217</f>
        <v/>
      </c>
      <c r="B217" s="18" t="str">
        <f>'Cashflow Schedule'!E217</f>
        <v/>
      </c>
      <c r="C217" s="22" t="str">
        <f>IF(A217="","",Inputs!$C$6*EXP((Inputs!$C$8-Inputs!$C$7)*A217))</f>
        <v/>
      </c>
      <c r="D217" s="22" t="str">
        <f t="shared" si="1"/>
        <v/>
      </c>
      <c r="E217" s="21" t="str">
        <f>IF(A217="","",EXP(-Inputs!$C$8*A217))</f>
        <v/>
      </c>
      <c r="F217" s="22" t="str">
        <f t="shared" si="2"/>
        <v/>
      </c>
    </row>
    <row r="218">
      <c r="A218" s="18" t="str">
        <f>'Cashflow Schedule'!B218</f>
        <v/>
      </c>
      <c r="B218" s="18" t="str">
        <f>'Cashflow Schedule'!E218</f>
        <v/>
      </c>
      <c r="C218" s="22" t="str">
        <f>IF(A218="","",Inputs!$C$6*EXP((Inputs!$C$8-Inputs!$C$7)*A218))</f>
        <v/>
      </c>
      <c r="D218" s="22" t="str">
        <f t="shared" si="1"/>
        <v/>
      </c>
      <c r="E218" s="21" t="str">
        <f>IF(A218="","",EXP(-Inputs!$C$8*A218))</f>
        <v/>
      </c>
      <c r="F218" s="22" t="str">
        <f t="shared" si="2"/>
        <v/>
      </c>
    </row>
    <row r="219">
      <c r="A219" s="18" t="str">
        <f>'Cashflow Schedule'!B219</f>
        <v/>
      </c>
      <c r="B219" s="18" t="str">
        <f>'Cashflow Schedule'!E219</f>
        <v/>
      </c>
      <c r="C219" s="22" t="str">
        <f>IF(A219="","",Inputs!$C$6*EXP((Inputs!$C$8-Inputs!$C$7)*A219))</f>
        <v/>
      </c>
      <c r="D219" s="22" t="str">
        <f t="shared" si="1"/>
        <v/>
      </c>
      <c r="E219" s="21" t="str">
        <f>IF(A219="","",EXP(-Inputs!$C$8*A219))</f>
        <v/>
      </c>
      <c r="F219" s="22" t="str">
        <f t="shared" si="2"/>
        <v/>
      </c>
    </row>
    <row r="220">
      <c r="A220" s="18" t="str">
        <f>'Cashflow Schedule'!B220</f>
        <v/>
      </c>
      <c r="B220" s="18" t="str">
        <f>'Cashflow Schedule'!E220</f>
        <v/>
      </c>
      <c r="C220" s="22" t="str">
        <f>IF(A220="","",Inputs!$C$6*EXP((Inputs!$C$8-Inputs!$C$7)*A220))</f>
        <v/>
      </c>
      <c r="D220" s="22" t="str">
        <f t="shared" si="1"/>
        <v/>
      </c>
      <c r="E220" s="21" t="str">
        <f>IF(A220="","",EXP(-Inputs!$C$8*A220))</f>
        <v/>
      </c>
      <c r="F220" s="22" t="str">
        <f t="shared" si="2"/>
        <v/>
      </c>
    </row>
    <row r="221">
      <c r="A221" s="18" t="str">
        <f>'Cashflow Schedule'!B221</f>
        <v/>
      </c>
      <c r="B221" s="18" t="str">
        <f>'Cashflow Schedule'!E221</f>
        <v/>
      </c>
      <c r="C221" s="22" t="str">
        <f>IF(A221="","",Inputs!$C$6*EXP((Inputs!$C$8-Inputs!$C$7)*A221))</f>
        <v/>
      </c>
      <c r="D221" s="22" t="str">
        <f t="shared" si="1"/>
        <v/>
      </c>
      <c r="E221" s="21" t="str">
        <f>IF(A221="","",EXP(-Inputs!$C$8*A221))</f>
        <v/>
      </c>
      <c r="F221" s="22" t="str">
        <f t="shared" si="2"/>
        <v/>
      </c>
    </row>
    <row r="222">
      <c r="A222" s="18" t="str">
        <f>'Cashflow Schedule'!B222</f>
        <v/>
      </c>
      <c r="B222" s="18" t="str">
        <f>'Cashflow Schedule'!E222</f>
        <v/>
      </c>
      <c r="C222" s="22" t="str">
        <f>IF(A222="","",Inputs!$C$6*EXP((Inputs!$C$8-Inputs!$C$7)*A222))</f>
        <v/>
      </c>
      <c r="D222" s="22" t="str">
        <f t="shared" si="1"/>
        <v/>
      </c>
      <c r="E222" s="21" t="str">
        <f>IF(A222="","",EXP(-Inputs!$C$8*A222))</f>
        <v/>
      </c>
      <c r="F222" s="22" t="str">
        <f t="shared" si="2"/>
        <v/>
      </c>
    </row>
    <row r="223">
      <c r="A223" s="18" t="str">
        <f>'Cashflow Schedule'!B223</f>
        <v/>
      </c>
      <c r="B223" s="18" t="str">
        <f>'Cashflow Schedule'!E223</f>
        <v/>
      </c>
      <c r="C223" s="22" t="str">
        <f>IF(A223="","",Inputs!$C$6*EXP((Inputs!$C$8-Inputs!$C$7)*A223))</f>
        <v/>
      </c>
      <c r="D223" s="22" t="str">
        <f t="shared" si="1"/>
        <v/>
      </c>
      <c r="E223" s="21" t="str">
        <f>IF(A223="","",EXP(-Inputs!$C$8*A223))</f>
        <v/>
      </c>
      <c r="F223" s="22" t="str">
        <f t="shared" si="2"/>
        <v/>
      </c>
    </row>
    <row r="224">
      <c r="A224" s="18" t="str">
        <f>'Cashflow Schedule'!B224</f>
        <v/>
      </c>
      <c r="B224" s="18" t="str">
        <f>'Cashflow Schedule'!E224</f>
        <v/>
      </c>
      <c r="C224" s="22" t="str">
        <f>IF(A224="","",Inputs!$C$6*EXP((Inputs!$C$8-Inputs!$C$7)*A224))</f>
        <v/>
      </c>
      <c r="D224" s="22" t="str">
        <f t="shared" si="1"/>
        <v/>
      </c>
      <c r="E224" s="21" t="str">
        <f>IF(A224="","",EXP(-Inputs!$C$8*A224))</f>
        <v/>
      </c>
      <c r="F224" s="22" t="str">
        <f t="shared" si="2"/>
        <v/>
      </c>
    </row>
    <row r="225">
      <c r="A225" s="18" t="str">
        <f>'Cashflow Schedule'!B225</f>
        <v/>
      </c>
      <c r="B225" s="18" t="str">
        <f>'Cashflow Schedule'!E225</f>
        <v/>
      </c>
      <c r="C225" s="22" t="str">
        <f>IF(A225="","",Inputs!$C$6*EXP((Inputs!$C$8-Inputs!$C$7)*A225))</f>
        <v/>
      </c>
      <c r="D225" s="22" t="str">
        <f t="shared" si="1"/>
        <v/>
      </c>
      <c r="E225" s="21" t="str">
        <f>IF(A225="","",EXP(-Inputs!$C$8*A225))</f>
        <v/>
      </c>
      <c r="F225" s="22" t="str">
        <f t="shared" si="2"/>
        <v/>
      </c>
    </row>
    <row r="226">
      <c r="A226" s="18" t="str">
        <f>'Cashflow Schedule'!B226</f>
        <v/>
      </c>
      <c r="B226" s="18" t="str">
        <f>'Cashflow Schedule'!E226</f>
        <v/>
      </c>
      <c r="C226" s="22" t="str">
        <f>IF(A226="","",Inputs!$C$6*EXP((Inputs!$C$8-Inputs!$C$7)*A226))</f>
        <v/>
      </c>
      <c r="D226" s="22" t="str">
        <f t="shared" si="1"/>
        <v/>
      </c>
      <c r="E226" s="21" t="str">
        <f>IF(A226="","",EXP(-Inputs!$C$8*A226))</f>
        <v/>
      </c>
      <c r="F226" s="22" t="str">
        <f t="shared" si="2"/>
        <v/>
      </c>
    </row>
    <row r="227">
      <c r="A227" s="18" t="str">
        <f>'Cashflow Schedule'!B227</f>
        <v/>
      </c>
      <c r="B227" s="18" t="str">
        <f>'Cashflow Schedule'!E227</f>
        <v/>
      </c>
      <c r="C227" s="22" t="str">
        <f>IF(A227="","",Inputs!$C$6*EXP((Inputs!$C$8-Inputs!$C$7)*A227))</f>
        <v/>
      </c>
      <c r="D227" s="22" t="str">
        <f t="shared" si="1"/>
        <v/>
      </c>
      <c r="E227" s="21" t="str">
        <f>IF(A227="","",EXP(-Inputs!$C$8*A227))</f>
        <v/>
      </c>
      <c r="F227" s="22" t="str">
        <f t="shared" si="2"/>
        <v/>
      </c>
    </row>
    <row r="228">
      <c r="A228" s="18" t="str">
        <f>'Cashflow Schedule'!B228</f>
        <v/>
      </c>
      <c r="B228" s="18" t="str">
        <f>'Cashflow Schedule'!E228</f>
        <v/>
      </c>
      <c r="C228" s="22" t="str">
        <f>IF(A228="","",Inputs!$C$6*EXP((Inputs!$C$8-Inputs!$C$7)*A228))</f>
        <v/>
      </c>
      <c r="D228" s="22" t="str">
        <f t="shared" si="1"/>
        <v/>
      </c>
      <c r="E228" s="21" t="str">
        <f>IF(A228="","",EXP(-Inputs!$C$8*A228))</f>
        <v/>
      </c>
      <c r="F228" s="22" t="str">
        <f t="shared" si="2"/>
        <v/>
      </c>
    </row>
    <row r="229">
      <c r="A229" s="18" t="str">
        <f>'Cashflow Schedule'!B229</f>
        <v/>
      </c>
      <c r="B229" s="18" t="str">
        <f>'Cashflow Schedule'!E229</f>
        <v/>
      </c>
      <c r="C229" s="22" t="str">
        <f>IF(A229="","",Inputs!$C$6*EXP((Inputs!$C$8-Inputs!$C$7)*A229))</f>
        <v/>
      </c>
      <c r="D229" s="22" t="str">
        <f t="shared" si="1"/>
        <v/>
      </c>
      <c r="E229" s="21" t="str">
        <f>IF(A229="","",EXP(-Inputs!$C$8*A229))</f>
        <v/>
      </c>
      <c r="F229" s="22" t="str">
        <f t="shared" si="2"/>
        <v/>
      </c>
    </row>
    <row r="230">
      <c r="A230" s="18" t="str">
        <f>'Cashflow Schedule'!B230</f>
        <v/>
      </c>
      <c r="B230" s="18" t="str">
        <f>'Cashflow Schedule'!E230</f>
        <v/>
      </c>
      <c r="C230" s="22" t="str">
        <f>IF(A230="","",Inputs!$C$6*EXP((Inputs!$C$8-Inputs!$C$7)*A230))</f>
        <v/>
      </c>
      <c r="D230" s="22" t="str">
        <f t="shared" si="1"/>
        <v/>
      </c>
      <c r="E230" s="21" t="str">
        <f>IF(A230="","",EXP(-Inputs!$C$8*A230))</f>
        <v/>
      </c>
      <c r="F230" s="22" t="str">
        <f t="shared" si="2"/>
        <v/>
      </c>
    </row>
    <row r="231">
      <c r="A231" s="18" t="str">
        <f>'Cashflow Schedule'!B231</f>
        <v/>
      </c>
      <c r="B231" s="18" t="str">
        <f>'Cashflow Schedule'!E231</f>
        <v/>
      </c>
      <c r="C231" s="22" t="str">
        <f>IF(A231="","",Inputs!$C$6*EXP((Inputs!$C$8-Inputs!$C$7)*A231))</f>
        <v/>
      </c>
      <c r="D231" s="22" t="str">
        <f t="shared" si="1"/>
        <v/>
      </c>
      <c r="E231" s="21" t="str">
        <f>IF(A231="","",EXP(-Inputs!$C$8*A231))</f>
        <v/>
      </c>
      <c r="F231" s="22" t="str">
        <f t="shared" si="2"/>
        <v/>
      </c>
    </row>
    <row r="232">
      <c r="A232" s="18" t="str">
        <f>'Cashflow Schedule'!B232</f>
        <v/>
      </c>
      <c r="B232" s="18" t="str">
        <f>'Cashflow Schedule'!E232</f>
        <v/>
      </c>
      <c r="C232" s="22" t="str">
        <f>IF(A232="","",Inputs!$C$6*EXP((Inputs!$C$8-Inputs!$C$7)*A232))</f>
        <v/>
      </c>
      <c r="D232" s="22" t="str">
        <f t="shared" si="1"/>
        <v/>
      </c>
      <c r="E232" s="21" t="str">
        <f>IF(A232="","",EXP(-Inputs!$C$8*A232))</f>
        <v/>
      </c>
      <c r="F232" s="22" t="str">
        <f t="shared" si="2"/>
        <v/>
      </c>
    </row>
    <row r="233">
      <c r="A233" s="18" t="str">
        <f>'Cashflow Schedule'!B233</f>
        <v/>
      </c>
      <c r="B233" s="18" t="str">
        <f>'Cashflow Schedule'!E233</f>
        <v/>
      </c>
      <c r="C233" s="22" t="str">
        <f>IF(A233="","",Inputs!$C$6*EXP((Inputs!$C$8-Inputs!$C$7)*A233))</f>
        <v/>
      </c>
      <c r="D233" s="22" t="str">
        <f t="shared" si="1"/>
        <v/>
      </c>
      <c r="E233" s="21" t="str">
        <f>IF(A233="","",EXP(-Inputs!$C$8*A233))</f>
        <v/>
      </c>
      <c r="F233" s="22" t="str">
        <f t="shared" si="2"/>
        <v/>
      </c>
    </row>
    <row r="234">
      <c r="A234" s="18" t="str">
        <f>'Cashflow Schedule'!B234</f>
        <v/>
      </c>
      <c r="B234" s="18" t="str">
        <f>'Cashflow Schedule'!E234</f>
        <v/>
      </c>
      <c r="C234" s="22" t="str">
        <f>IF(A234="","",Inputs!$C$6*EXP((Inputs!$C$8-Inputs!$C$7)*A234))</f>
        <v/>
      </c>
      <c r="D234" s="22" t="str">
        <f t="shared" si="1"/>
        <v/>
      </c>
      <c r="E234" s="21" t="str">
        <f>IF(A234="","",EXP(-Inputs!$C$8*A234))</f>
        <v/>
      </c>
      <c r="F234" s="22" t="str">
        <f t="shared" si="2"/>
        <v/>
      </c>
    </row>
    <row r="235">
      <c r="A235" s="18" t="str">
        <f>'Cashflow Schedule'!B235</f>
        <v/>
      </c>
      <c r="B235" s="18" t="str">
        <f>'Cashflow Schedule'!E235</f>
        <v/>
      </c>
      <c r="C235" s="22" t="str">
        <f>IF(A235="","",Inputs!$C$6*EXP((Inputs!$C$8-Inputs!$C$7)*A235))</f>
        <v/>
      </c>
      <c r="D235" s="22" t="str">
        <f t="shared" si="1"/>
        <v/>
      </c>
      <c r="E235" s="21" t="str">
        <f>IF(A235="","",EXP(-Inputs!$C$8*A235))</f>
        <v/>
      </c>
      <c r="F235" s="22" t="str">
        <f t="shared" si="2"/>
        <v/>
      </c>
    </row>
    <row r="236">
      <c r="A236" s="18" t="str">
        <f>'Cashflow Schedule'!B236</f>
        <v/>
      </c>
      <c r="B236" s="18" t="str">
        <f>'Cashflow Schedule'!E236</f>
        <v/>
      </c>
      <c r="C236" s="22" t="str">
        <f>IF(A236="","",Inputs!$C$6*EXP((Inputs!$C$8-Inputs!$C$7)*A236))</f>
        <v/>
      </c>
      <c r="D236" s="22" t="str">
        <f t="shared" si="1"/>
        <v/>
      </c>
      <c r="E236" s="21" t="str">
        <f>IF(A236="","",EXP(-Inputs!$C$8*A236))</f>
        <v/>
      </c>
      <c r="F236" s="22" t="str">
        <f t="shared" si="2"/>
        <v/>
      </c>
    </row>
    <row r="237">
      <c r="A237" s="18" t="str">
        <f>'Cashflow Schedule'!B237</f>
        <v/>
      </c>
      <c r="B237" s="18" t="str">
        <f>'Cashflow Schedule'!E237</f>
        <v/>
      </c>
      <c r="C237" s="22" t="str">
        <f>IF(A237="","",Inputs!$C$6*EXP((Inputs!$C$8-Inputs!$C$7)*A237))</f>
        <v/>
      </c>
      <c r="D237" s="22" t="str">
        <f t="shared" si="1"/>
        <v/>
      </c>
      <c r="E237" s="21" t="str">
        <f>IF(A237="","",EXP(-Inputs!$C$8*A237))</f>
        <v/>
      </c>
      <c r="F237" s="22" t="str">
        <f t="shared" si="2"/>
        <v/>
      </c>
    </row>
    <row r="238">
      <c r="A238" s="18" t="str">
        <f>'Cashflow Schedule'!B238</f>
        <v/>
      </c>
      <c r="B238" s="18" t="str">
        <f>'Cashflow Schedule'!E238</f>
        <v/>
      </c>
      <c r="C238" s="22" t="str">
        <f>IF(A238="","",Inputs!$C$6*EXP((Inputs!$C$8-Inputs!$C$7)*A238))</f>
        <v/>
      </c>
      <c r="D238" s="22" t="str">
        <f t="shared" si="1"/>
        <v/>
      </c>
      <c r="E238" s="21" t="str">
        <f>IF(A238="","",EXP(-Inputs!$C$8*A238))</f>
        <v/>
      </c>
      <c r="F238" s="22" t="str">
        <f t="shared" si="2"/>
        <v/>
      </c>
    </row>
    <row r="239">
      <c r="A239" s="18" t="str">
        <f>'Cashflow Schedule'!B239</f>
        <v/>
      </c>
      <c r="B239" s="18" t="str">
        <f>'Cashflow Schedule'!E239</f>
        <v/>
      </c>
      <c r="C239" s="22" t="str">
        <f>IF(A239="","",Inputs!$C$6*EXP((Inputs!$C$8-Inputs!$C$7)*A239))</f>
        <v/>
      </c>
      <c r="D239" s="22" t="str">
        <f t="shared" si="1"/>
        <v/>
      </c>
      <c r="E239" s="21" t="str">
        <f>IF(A239="","",EXP(-Inputs!$C$8*A239))</f>
        <v/>
      </c>
      <c r="F239" s="22" t="str">
        <f t="shared" si="2"/>
        <v/>
      </c>
    </row>
    <row r="240">
      <c r="A240" s="18" t="str">
        <f>'Cashflow Schedule'!B240</f>
        <v/>
      </c>
      <c r="B240" s="18" t="str">
        <f>'Cashflow Schedule'!E240</f>
        <v/>
      </c>
      <c r="C240" s="22" t="str">
        <f>IF(A240="","",Inputs!$C$6*EXP((Inputs!$C$8-Inputs!$C$7)*A240))</f>
        <v/>
      </c>
      <c r="D240" s="22" t="str">
        <f t="shared" si="1"/>
        <v/>
      </c>
      <c r="E240" s="21" t="str">
        <f>IF(A240="","",EXP(-Inputs!$C$8*A240))</f>
        <v/>
      </c>
      <c r="F240" s="22" t="str">
        <f t="shared" si="2"/>
        <v/>
      </c>
    </row>
    <row r="241">
      <c r="A241" s="18" t="str">
        <f>'Cashflow Schedule'!B241</f>
        <v/>
      </c>
      <c r="B241" s="18" t="str">
        <f>'Cashflow Schedule'!E241</f>
        <v/>
      </c>
      <c r="C241" s="22" t="str">
        <f>IF(A241="","",Inputs!$C$6*EXP((Inputs!$C$8-Inputs!$C$7)*A241))</f>
        <v/>
      </c>
      <c r="D241" s="22" t="str">
        <f t="shared" si="1"/>
        <v/>
      </c>
      <c r="E241" s="21" t="str">
        <f>IF(A241="","",EXP(-Inputs!$C$8*A241))</f>
        <v/>
      </c>
      <c r="F241" s="22" t="str">
        <f t="shared" si="2"/>
        <v/>
      </c>
    </row>
    <row r="242">
      <c r="A242" s="18" t="str">
        <f>'Cashflow Schedule'!B242</f>
        <v/>
      </c>
      <c r="B242" s="18" t="str">
        <f>'Cashflow Schedule'!E242</f>
        <v/>
      </c>
      <c r="C242" s="22" t="str">
        <f>IF(A242="","",Inputs!$C$6*EXP((Inputs!$C$8-Inputs!$C$7)*A242))</f>
        <v/>
      </c>
      <c r="D242" s="22" t="str">
        <f t="shared" si="1"/>
        <v/>
      </c>
      <c r="E242" s="21" t="str">
        <f>IF(A242="","",EXP(-Inputs!$C$8*A242))</f>
        <v/>
      </c>
      <c r="F242" s="22" t="str">
        <f t="shared" si="2"/>
        <v/>
      </c>
    </row>
    <row r="243">
      <c r="A243" s="18" t="str">
        <f>'Cashflow Schedule'!B243</f>
        <v/>
      </c>
      <c r="B243" s="18" t="str">
        <f>'Cashflow Schedule'!E243</f>
        <v/>
      </c>
      <c r="C243" s="22" t="str">
        <f>IF(A243="","",Inputs!$C$6*EXP((Inputs!$C$8-Inputs!$C$7)*A243))</f>
        <v/>
      </c>
      <c r="D243" s="22" t="str">
        <f t="shared" si="1"/>
        <v/>
      </c>
      <c r="E243" s="21" t="str">
        <f>IF(A243="","",EXP(-Inputs!$C$8*A243))</f>
        <v/>
      </c>
      <c r="F243" s="22" t="str">
        <f t="shared" si="2"/>
        <v/>
      </c>
    </row>
    <row r="244">
      <c r="A244" s="18" t="str">
        <f>'Cashflow Schedule'!B244</f>
        <v/>
      </c>
      <c r="B244" s="18" t="str">
        <f>'Cashflow Schedule'!E244</f>
        <v/>
      </c>
      <c r="C244" s="22" t="str">
        <f>IF(A244="","",Inputs!$C$6*EXP((Inputs!$C$8-Inputs!$C$7)*A244))</f>
        <v/>
      </c>
      <c r="D244" s="22" t="str">
        <f t="shared" si="1"/>
        <v/>
      </c>
      <c r="E244" s="21" t="str">
        <f>IF(A244="","",EXP(-Inputs!$C$8*A244))</f>
        <v/>
      </c>
      <c r="F244" s="22" t="str">
        <f t="shared" si="2"/>
        <v/>
      </c>
    </row>
    <row r="245">
      <c r="A245" s="18" t="str">
        <f>'Cashflow Schedule'!B245</f>
        <v/>
      </c>
      <c r="B245" s="18" t="str">
        <f>'Cashflow Schedule'!E245</f>
        <v/>
      </c>
      <c r="C245" s="22" t="str">
        <f>IF(A245="","",Inputs!$C$6*EXP((Inputs!$C$8-Inputs!$C$7)*A245))</f>
        <v/>
      </c>
      <c r="D245" s="22" t="str">
        <f t="shared" si="1"/>
        <v/>
      </c>
      <c r="E245" s="21" t="str">
        <f>IF(A245="","",EXP(-Inputs!$C$8*A245))</f>
        <v/>
      </c>
      <c r="F245" s="22" t="str">
        <f t="shared" si="2"/>
        <v/>
      </c>
    </row>
    <row r="246">
      <c r="A246" s="18" t="str">
        <f>'Cashflow Schedule'!B246</f>
        <v/>
      </c>
      <c r="B246" s="18" t="str">
        <f>'Cashflow Schedule'!E246</f>
        <v/>
      </c>
      <c r="C246" s="22" t="str">
        <f>IF(A246="","",Inputs!$C$6*EXP((Inputs!$C$8-Inputs!$C$7)*A246))</f>
        <v/>
      </c>
      <c r="D246" s="22" t="str">
        <f t="shared" si="1"/>
        <v/>
      </c>
      <c r="E246" s="21" t="str">
        <f>IF(A246="","",EXP(-Inputs!$C$8*A246))</f>
        <v/>
      </c>
      <c r="F246" s="22" t="str">
        <f t="shared" si="2"/>
        <v/>
      </c>
    </row>
    <row r="247">
      <c r="A247" s="18" t="str">
        <f>'Cashflow Schedule'!B247</f>
        <v/>
      </c>
      <c r="B247" s="18" t="str">
        <f>'Cashflow Schedule'!E247</f>
        <v/>
      </c>
      <c r="C247" s="22" t="str">
        <f>IF(A247="","",Inputs!$C$6*EXP((Inputs!$C$8-Inputs!$C$7)*A247))</f>
        <v/>
      </c>
      <c r="D247" s="22" t="str">
        <f t="shared" si="1"/>
        <v/>
      </c>
      <c r="E247" s="21" t="str">
        <f>IF(A247="","",EXP(-Inputs!$C$8*A247))</f>
        <v/>
      </c>
      <c r="F247" s="22" t="str">
        <f t="shared" si="2"/>
        <v/>
      </c>
    </row>
    <row r="248">
      <c r="A248" s="18" t="str">
        <f>'Cashflow Schedule'!B248</f>
        <v/>
      </c>
      <c r="B248" s="18" t="str">
        <f>'Cashflow Schedule'!E248</f>
        <v/>
      </c>
      <c r="C248" s="22" t="str">
        <f>IF(A248="","",Inputs!$C$6*EXP((Inputs!$C$8-Inputs!$C$7)*A248))</f>
        <v/>
      </c>
      <c r="D248" s="22" t="str">
        <f t="shared" si="1"/>
        <v/>
      </c>
      <c r="E248" s="21" t="str">
        <f>IF(A248="","",EXP(-Inputs!$C$8*A248))</f>
        <v/>
      </c>
      <c r="F248" s="22" t="str">
        <f t="shared" si="2"/>
        <v/>
      </c>
    </row>
    <row r="249">
      <c r="A249" s="18" t="str">
        <f>'Cashflow Schedule'!B249</f>
        <v/>
      </c>
      <c r="B249" s="18" t="str">
        <f>'Cashflow Schedule'!E249</f>
        <v/>
      </c>
      <c r="C249" s="22" t="str">
        <f>IF(A249="","",Inputs!$C$6*EXP((Inputs!$C$8-Inputs!$C$7)*A249))</f>
        <v/>
      </c>
      <c r="D249" s="22" t="str">
        <f t="shared" si="1"/>
        <v/>
      </c>
      <c r="E249" s="21" t="str">
        <f>IF(A249="","",EXP(-Inputs!$C$8*A249))</f>
        <v/>
      </c>
      <c r="F249" s="22" t="str">
        <f t="shared" si="2"/>
        <v/>
      </c>
    </row>
    <row r="250">
      <c r="A250" s="18" t="str">
        <f>'Cashflow Schedule'!B250</f>
        <v/>
      </c>
      <c r="B250" s="18" t="str">
        <f>'Cashflow Schedule'!E250</f>
        <v/>
      </c>
      <c r="C250" s="22" t="str">
        <f>IF(A250="","",Inputs!$C$6*EXP((Inputs!$C$8-Inputs!$C$7)*A250))</f>
        <v/>
      </c>
      <c r="D250" s="22" t="str">
        <f t="shared" si="1"/>
        <v/>
      </c>
      <c r="E250" s="21" t="str">
        <f>IF(A250="","",EXP(-Inputs!$C$8*A250))</f>
        <v/>
      </c>
      <c r="F250" s="22" t="str">
        <f t="shared" si="2"/>
        <v/>
      </c>
    </row>
    <row r="251">
      <c r="A251" s="18" t="str">
        <f>'Cashflow Schedule'!B251</f>
        <v/>
      </c>
      <c r="B251" s="18" t="str">
        <f>'Cashflow Schedule'!E251</f>
        <v/>
      </c>
      <c r="C251" s="22" t="str">
        <f>IF(A251="","",Inputs!$C$6*EXP((Inputs!$C$8-Inputs!$C$7)*A251))</f>
        <v/>
      </c>
      <c r="D251" s="22" t="str">
        <f t="shared" si="1"/>
        <v/>
      </c>
      <c r="E251" s="21" t="str">
        <f>IF(A251="","",EXP(-Inputs!$C$8*A251))</f>
        <v/>
      </c>
      <c r="F251" s="22" t="str">
        <f t="shared" si="2"/>
        <v/>
      </c>
    </row>
    <row r="252">
      <c r="A252" s="18" t="str">
        <f>'Cashflow Schedule'!B252</f>
        <v/>
      </c>
      <c r="B252" s="18" t="str">
        <f>'Cashflow Schedule'!E252</f>
        <v/>
      </c>
      <c r="C252" s="22" t="str">
        <f>IF(A252="","",Inputs!$C$6*EXP((Inputs!$C$8-Inputs!$C$7)*A252))</f>
        <v/>
      </c>
      <c r="D252" s="22" t="str">
        <f t="shared" si="1"/>
        <v/>
      </c>
      <c r="E252" s="21" t="str">
        <f>IF(A252="","",EXP(-Inputs!$C$8*A252))</f>
        <v/>
      </c>
      <c r="F252" s="22" t="str">
        <f t="shared" si="2"/>
        <v/>
      </c>
    </row>
    <row r="253">
      <c r="A253" s="18" t="str">
        <f>'Cashflow Schedule'!B253</f>
        <v/>
      </c>
      <c r="B253" s="18" t="str">
        <f>'Cashflow Schedule'!E253</f>
        <v/>
      </c>
      <c r="C253" s="22" t="str">
        <f>IF(A253="","",Inputs!$C$6*EXP((Inputs!$C$8-Inputs!$C$7)*A253))</f>
        <v/>
      </c>
      <c r="D253" s="22" t="str">
        <f t="shared" si="1"/>
        <v/>
      </c>
      <c r="E253" s="21" t="str">
        <f>IF(A253="","",EXP(-Inputs!$C$8*A253))</f>
        <v/>
      </c>
      <c r="F253" s="22" t="str">
        <f t="shared" si="2"/>
        <v/>
      </c>
    </row>
    <row r="254">
      <c r="A254" s="18" t="str">
        <f>'Cashflow Schedule'!B254</f>
        <v/>
      </c>
      <c r="B254" s="18" t="str">
        <f>'Cashflow Schedule'!E254</f>
        <v/>
      </c>
      <c r="C254" s="22" t="str">
        <f>IF(A254="","",Inputs!$C$6*EXP((Inputs!$C$8-Inputs!$C$7)*A254))</f>
        <v/>
      </c>
      <c r="D254" s="22" t="str">
        <f t="shared" si="1"/>
        <v/>
      </c>
      <c r="E254" s="21" t="str">
        <f>IF(A254="","",EXP(-Inputs!$C$8*A254))</f>
        <v/>
      </c>
      <c r="F254" s="22" t="str">
        <f t="shared" si="2"/>
        <v/>
      </c>
    </row>
    <row r="255">
      <c r="A255" s="18" t="str">
        <f>'Cashflow Schedule'!B255</f>
        <v/>
      </c>
      <c r="B255" s="18" t="str">
        <f>'Cashflow Schedule'!E255</f>
        <v/>
      </c>
      <c r="C255" s="22" t="str">
        <f>IF(A255="","",Inputs!$C$6*EXP((Inputs!$C$8-Inputs!$C$7)*A255))</f>
        <v/>
      </c>
      <c r="D255" s="22" t="str">
        <f t="shared" si="1"/>
        <v/>
      </c>
      <c r="E255" s="21" t="str">
        <f>IF(A255="","",EXP(-Inputs!$C$8*A255))</f>
        <v/>
      </c>
      <c r="F255" s="22" t="str">
        <f t="shared" si="2"/>
        <v/>
      </c>
    </row>
    <row r="256">
      <c r="A256" s="18" t="str">
        <f>'Cashflow Schedule'!B256</f>
        <v/>
      </c>
      <c r="B256" s="18" t="str">
        <f>'Cashflow Schedule'!E256</f>
        <v/>
      </c>
      <c r="C256" s="22" t="str">
        <f>IF(A256="","",Inputs!$C$6*EXP((Inputs!$C$8-Inputs!$C$7)*A256))</f>
        <v/>
      </c>
      <c r="D256" s="22" t="str">
        <f t="shared" si="1"/>
        <v/>
      </c>
      <c r="E256" s="21" t="str">
        <f>IF(A256="","",EXP(-Inputs!$C$8*A256))</f>
        <v/>
      </c>
      <c r="F256" s="22" t="str">
        <f t="shared" si="2"/>
        <v/>
      </c>
    </row>
    <row r="257">
      <c r="A257" s="18" t="str">
        <f>'Cashflow Schedule'!B257</f>
        <v/>
      </c>
      <c r="B257" s="18" t="str">
        <f>'Cashflow Schedule'!E257</f>
        <v/>
      </c>
      <c r="C257" s="22" t="str">
        <f>IF(A257="","",Inputs!$C$6*EXP((Inputs!$C$8-Inputs!$C$7)*A257))</f>
        <v/>
      </c>
      <c r="D257" s="22" t="str">
        <f t="shared" si="1"/>
        <v/>
      </c>
      <c r="E257" s="21" t="str">
        <f>IF(A257="","",EXP(-Inputs!$C$8*A257))</f>
        <v/>
      </c>
      <c r="F257" s="22" t="str">
        <f t="shared" si="2"/>
        <v/>
      </c>
    </row>
    <row r="258">
      <c r="A258" s="18" t="str">
        <f>'Cashflow Schedule'!B258</f>
        <v/>
      </c>
      <c r="B258" s="18" t="str">
        <f>'Cashflow Schedule'!E258</f>
        <v/>
      </c>
      <c r="C258" s="22" t="str">
        <f>IF(A258="","",Inputs!$C$6*EXP((Inputs!$C$8-Inputs!$C$7)*A258))</f>
        <v/>
      </c>
      <c r="D258" s="22" t="str">
        <f t="shared" si="1"/>
        <v/>
      </c>
      <c r="E258" s="21" t="str">
        <f>IF(A258="","",EXP(-Inputs!$C$8*A258))</f>
        <v/>
      </c>
      <c r="F258" s="22" t="str">
        <f t="shared" si="2"/>
        <v/>
      </c>
    </row>
    <row r="259">
      <c r="A259" s="18" t="str">
        <f>'Cashflow Schedule'!B259</f>
        <v/>
      </c>
      <c r="B259" s="18" t="str">
        <f>'Cashflow Schedule'!E259</f>
        <v/>
      </c>
      <c r="C259" s="22" t="str">
        <f>IF(A259="","",Inputs!$C$6*EXP((Inputs!$C$8-Inputs!$C$7)*A259))</f>
        <v/>
      </c>
      <c r="D259" s="22" t="str">
        <f t="shared" si="1"/>
        <v/>
      </c>
      <c r="E259" s="21" t="str">
        <f>IF(A259="","",EXP(-Inputs!$C$8*A259))</f>
        <v/>
      </c>
      <c r="F259" s="22" t="str">
        <f t="shared" si="2"/>
        <v/>
      </c>
    </row>
    <row r="260">
      <c r="A260" s="18" t="str">
        <f>'Cashflow Schedule'!B260</f>
        <v/>
      </c>
      <c r="B260" s="18" t="str">
        <f>'Cashflow Schedule'!E260</f>
        <v/>
      </c>
      <c r="C260" s="22" t="str">
        <f>IF(A260="","",Inputs!$C$6*EXP((Inputs!$C$8-Inputs!$C$7)*A260))</f>
        <v/>
      </c>
      <c r="D260" s="22" t="str">
        <f t="shared" si="1"/>
        <v/>
      </c>
      <c r="E260" s="21" t="str">
        <f>IF(A260="","",EXP(-Inputs!$C$8*A260))</f>
        <v/>
      </c>
      <c r="F260" s="22" t="str">
        <f t="shared" si="2"/>
        <v/>
      </c>
    </row>
    <row r="261">
      <c r="A261" s="18" t="str">
        <f>'Cashflow Schedule'!B261</f>
        <v/>
      </c>
      <c r="B261" s="18" t="str">
        <f>'Cashflow Schedule'!E261</f>
        <v/>
      </c>
      <c r="C261" s="22" t="str">
        <f>IF(A261="","",Inputs!$C$6*EXP((Inputs!$C$8-Inputs!$C$7)*A261))</f>
        <v/>
      </c>
      <c r="D261" s="22" t="str">
        <f t="shared" si="1"/>
        <v/>
      </c>
      <c r="E261" s="21" t="str">
        <f>IF(A261="","",EXP(-Inputs!$C$8*A261))</f>
        <v/>
      </c>
      <c r="F261" s="22" t="str">
        <f t="shared" si="2"/>
        <v/>
      </c>
    </row>
    <row r="262">
      <c r="A262" s="18" t="str">
        <f>'Cashflow Schedule'!B262</f>
        <v/>
      </c>
      <c r="B262" s="18" t="str">
        <f>'Cashflow Schedule'!E262</f>
        <v/>
      </c>
      <c r="C262" s="22" t="str">
        <f>IF(A262="","",Inputs!$C$6*EXP((Inputs!$C$8-Inputs!$C$7)*A262))</f>
        <v/>
      </c>
      <c r="D262" s="22" t="str">
        <f t="shared" si="1"/>
        <v/>
      </c>
      <c r="E262" s="21" t="str">
        <f>IF(A262="","",EXP(-Inputs!$C$8*A262))</f>
        <v/>
      </c>
      <c r="F262" s="22" t="str">
        <f t="shared" si="2"/>
        <v/>
      </c>
    </row>
    <row r="263">
      <c r="A263" s="18" t="str">
        <f>'Cashflow Schedule'!B263</f>
        <v/>
      </c>
      <c r="B263" s="18" t="str">
        <f>'Cashflow Schedule'!E263</f>
        <v/>
      </c>
      <c r="C263" s="22" t="str">
        <f>IF(A263="","",Inputs!$C$6*EXP((Inputs!$C$8-Inputs!$C$7)*A263))</f>
        <v/>
      </c>
      <c r="D263" s="22" t="str">
        <f t="shared" si="1"/>
        <v/>
      </c>
      <c r="E263" s="21" t="str">
        <f>IF(A263="","",EXP(-Inputs!$C$8*A263))</f>
        <v/>
      </c>
      <c r="F263" s="22" t="str">
        <f t="shared" si="2"/>
        <v/>
      </c>
    </row>
    <row r="264">
      <c r="A264" s="18" t="str">
        <f>'Cashflow Schedule'!B264</f>
        <v/>
      </c>
      <c r="B264" s="18" t="str">
        <f>'Cashflow Schedule'!E264</f>
        <v/>
      </c>
      <c r="C264" s="22" t="str">
        <f>IF(A264="","",Inputs!$C$6*EXP((Inputs!$C$8-Inputs!$C$7)*A264))</f>
        <v/>
      </c>
      <c r="D264" s="22" t="str">
        <f t="shared" si="1"/>
        <v/>
      </c>
      <c r="E264" s="21" t="str">
        <f>IF(A264="","",EXP(-Inputs!$C$8*A264))</f>
        <v/>
      </c>
      <c r="F264" s="22" t="str">
        <f t="shared" si="2"/>
        <v/>
      </c>
    </row>
    <row r="265">
      <c r="A265" s="18" t="str">
        <f>'Cashflow Schedule'!B265</f>
        <v/>
      </c>
      <c r="B265" s="18" t="str">
        <f>'Cashflow Schedule'!E265</f>
        <v/>
      </c>
      <c r="C265" s="22" t="str">
        <f>IF(A265="","",Inputs!$C$6*EXP((Inputs!$C$8-Inputs!$C$7)*A265))</f>
        <v/>
      </c>
      <c r="D265" s="22" t="str">
        <f t="shared" si="1"/>
        <v/>
      </c>
      <c r="E265" s="21" t="str">
        <f>IF(A265="","",EXP(-Inputs!$C$8*A265))</f>
        <v/>
      </c>
      <c r="F265" s="22" t="str">
        <f t="shared" si="2"/>
        <v/>
      </c>
    </row>
    <row r="266">
      <c r="A266" s="18" t="str">
        <f>'Cashflow Schedule'!B266</f>
        <v/>
      </c>
      <c r="B266" s="18" t="str">
        <f>'Cashflow Schedule'!E266</f>
        <v/>
      </c>
      <c r="C266" s="22" t="str">
        <f>IF(A266="","",Inputs!$C$6*EXP((Inputs!$C$8-Inputs!$C$7)*A266))</f>
        <v/>
      </c>
      <c r="D266" s="22" t="str">
        <f t="shared" si="1"/>
        <v/>
      </c>
      <c r="E266" s="21" t="str">
        <f>IF(A266="","",EXP(-Inputs!$C$8*A266))</f>
        <v/>
      </c>
      <c r="F266" s="22" t="str">
        <f t="shared" si="2"/>
        <v/>
      </c>
    </row>
    <row r="267">
      <c r="A267" s="18" t="str">
        <f>'Cashflow Schedule'!B267</f>
        <v/>
      </c>
      <c r="B267" s="18" t="str">
        <f>'Cashflow Schedule'!E267</f>
        <v/>
      </c>
      <c r="C267" s="22" t="str">
        <f>IF(A267="","",Inputs!$C$6*EXP((Inputs!$C$8-Inputs!$C$7)*A267))</f>
        <v/>
      </c>
      <c r="D267" s="22" t="str">
        <f t="shared" si="1"/>
        <v/>
      </c>
      <c r="E267" s="21" t="str">
        <f>IF(A267="","",EXP(-Inputs!$C$8*A267))</f>
        <v/>
      </c>
      <c r="F267" s="22" t="str">
        <f t="shared" si="2"/>
        <v/>
      </c>
    </row>
    <row r="268">
      <c r="A268" s="18" t="str">
        <f>'Cashflow Schedule'!B268</f>
        <v/>
      </c>
      <c r="B268" s="18" t="str">
        <f>'Cashflow Schedule'!E268</f>
        <v/>
      </c>
      <c r="C268" s="22" t="str">
        <f>IF(A268="","",Inputs!$C$6*EXP((Inputs!$C$8-Inputs!$C$7)*A268))</f>
        <v/>
      </c>
      <c r="D268" s="22" t="str">
        <f t="shared" si="1"/>
        <v/>
      </c>
      <c r="E268" s="21" t="str">
        <f>IF(A268="","",EXP(-Inputs!$C$8*A268))</f>
        <v/>
      </c>
      <c r="F268" s="22" t="str">
        <f t="shared" si="2"/>
        <v/>
      </c>
    </row>
    <row r="269">
      <c r="A269" s="18" t="str">
        <f>'Cashflow Schedule'!B269</f>
        <v/>
      </c>
      <c r="B269" s="18" t="str">
        <f>'Cashflow Schedule'!E269</f>
        <v/>
      </c>
      <c r="C269" s="22" t="str">
        <f>IF(A269="","",Inputs!$C$6*EXP((Inputs!$C$8-Inputs!$C$7)*A269))</f>
        <v/>
      </c>
      <c r="D269" s="22" t="str">
        <f t="shared" si="1"/>
        <v/>
      </c>
      <c r="E269" s="21" t="str">
        <f>IF(A269="","",EXP(-Inputs!$C$8*A269))</f>
        <v/>
      </c>
      <c r="F269" s="22" t="str">
        <f t="shared" si="2"/>
        <v/>
      </c>
    </row>
    <row r="270">
      <c r="A270" s="18" t="str">
        <f>'Cashflow Schedule'!B270</f>
        <v/>
      </c>
      <c r="B270" s="18" t="str">
        <f>'Cashflow Schedule'!E270</f>
        <v/>
      </c>
      <c r="C270" s="22" t="str">
        <f>IF(A270="","",Inputs!$C$6*EXP((Inputs!$C$8-Inputs!$C$7)*A270))</f>
        <v/>
      </c>
      <c r="D270" s="22" t="str">
        <f t="shared" si="1"/>
        <v/>
      </c>
      <c r="E270" s="21" t="str">
        <f>IF(A270="","",EXP(-Inputs!$C$8*A270))</f>
        <v/>
      </c>
      <c r="F270" s="22" t="str">
        <f t="shared" si="2"/>
        <v/>
      </c>
    </row>
    <row r="271">
      <c r="A271" s="18" t="str">
        <f>'Cashflow Schedule'!B271</f>
        <v/>
      </c>
      <c r="B271" s="18" t="str">
        <f>'Cashflow Schedule'!E271</f>
        <v/>
      </c>
      <c r="C271" s="22" t="str">
        <f>IF(A271="","",Inputs!$C$6*EXP((Inputs!$C$8-Inputs!$C$7)*A271))</f>
        <v/>
      </c>
      <c r="D271" s="22" t="str">
        <f t="shared" si="1"/>
        <v/>
      </c>
      <c r="E271" s="21" t="str">
        <f>IF(A271="","",EXP(-Inputs!$C$8*A271))</f>
        <v/>
      </c>
      <c r="F271" s="22" t="str">
        <f t="shared" si="2"/>
        <v/>
      </c>
    </row>
    <row r="272">
      <c r="A272" s="18" t="str">
        <f>'Cashflow Schedule'!B272</f>
        <v/>
      </c>
      <c r="B272" s="18" t="str">
        <f>'Cashflow Schedule'!E272</f>
        <v/>
      </c>
      <c r="C272" s="22" t="str">
        <f>IF(A272="","",Inputs!$C$6*EXP((Inputs!$C$8-Inputs!$C$7)*A272))</f>
        <v/>
      </c>
      <c r="D272" s="22" t="str">
        <f t="shared" si="1"/>
        <v/>
      </c>
      <c r="E272" s="21" t="str">
        <f>IF(A272="","",EXP(-Inputs!$C$8*A272))</f>
        <v/>
      </c>
      <c r="F272" s="22" t="str">
        <f t="shared" si="2"/>
        <v/>
      </c>
    </row>
    <row r="273">
      <c r="A273" s="18" t="str">
        <f>'Cashflow Schedule'!B273</f>
        <v/>
      </c>
      <c r="B273" s="18" t="str">
        <f>'Cashflow Schedule'!E273</f>
        <v/>
      </c>
      <c r="C273" s="22" t="str">
        <f>IF(A273="","",Inputs!$C$6*EXP((Inputs!$C$8-Inputs!$C$7)*A273))</f>
        <v/>
      </c>
      <c r="D273" s="22" t="str">
        <f t="shared" si="1"/>
        <v/>
      </c>
      <c r="E273" s="21" t="str">
        <f>IF(A273="","",EXP(-Inputs!$C$8*A273))</f>
        <v/>
      </c>
      <c r="F273" s="22" t="str">
        <f t="shared" si="2"/>
        <v/>
      </c>
    </row>
    <row r="274">
      <c r="A274" s="18" t="str">
        <f>'Cashflow Schedule'!B274</f>
        <v/>
      </c>
      <c r="B274" s="18" t="str">
        <f>'Cashflow Schedule'!E274</f>
        <v/>
      </c>
      <c r="C274" s="22" t="str">
        <f>IF(A274="","",Inputs!$C$6*EXP((Inputs!$C$8-Inputs!$C$7)*A274))</f>
        <v/>
      </c>
      <c r="D274" s="22" t="str">
        <f t="shared" si="1"/>
        <v/>
      </c>
      <c r="E274" s="21" t="str">
        <f>IF(A274="","",EXP(-Inputs!$C$8*A274))</f>
        <v/>
      </c>
      <c r="F274" s="22" t="str">
        <f t="shared" si="2"/>
        <v/>
      </c>
    </row>
    <row r="275">
      <c r="A275" s="18" t="str">
        <f>'Cashflow Schedule'!B275</f>
        <v/>
      </c>
      <c r="B275" s="18" t="str">
        <f>'Cashflow Schedule'!E275</f>
        <v/>
      </c>
      <c r="C275" s="22" t="str">
        <f>IF(A275="","",Inputs!$C$6*EXP((Inputs!$C$8-Inputs!$C$7)*A275))</f>
        <v/>
      </c>
      <c r="D275" s="22" t="str">
        <f t="shared" si="1"/>
        <v/>
      </c>
      <c r="E275" s="21" t="str">
        <f>IF(A275="","",EXP(-Inputs!$C$8*A275))</f>
        <v/>
      </c>
      <c r="F275" s="22" t="str">
        <f t="shared" si="2"/>
        <v/>
      </c>
    </row>
    <row r="276">
      <c r="A276" s="18" t="str">
        <f>'Cashflow Schedule'!B276</f>
        <v/>
      </c>
      <c r="B276" s="18" t="str">
        <f>'Cashflow Schedule'!E276</f>
        <v/>
      </c>
      <c r="C276" s="22" t="str">
        <f>IF(A276="","",Inputs!$C$6*EXP((Inputs!$C$8-Inputs!$C$7)*A276))</f>
        <v/>
      </c>
      <c r="D276" s="22" t="str">
        <f t="shared" si="1"/>
        <v/>
      </c>
      <c r="E276" s="21" t="str">
        <f>IF(A276="","",EXP(-Inputs!$C$8*A276))</f>
        <v/>
      </c>
      <c r="F276" s="22" t="str">
        <f t="shared" si="2"/>
        <v/>
      </c>
    </row>
    <row r="277">
      <c r="A277" s="18" t="str">
        <f>'Cashflow Schedule'!B277</f>
        <v/>
      </c>
      <c r="B277" s="18" t="str">
        <f>'Cashflow Schedule'!E277</f>
        <v/>
      </c>
      <c r="C277" s="22" t="str">
        <f>IF(A277="","",Inputs!$C$6*EXP((Inputs!$C$8-Inputs!$C$7)*A277))</f>
        <v/>
      </c>
      <c r="D277" s="22" t="str">
        <f t="shared" si="1"/>
        <v/>
      </c>
      <c r="E277" s="21" t="str">
        <f>IF(A277="","",EXP(-Inputs!$C$8*A277))</f>
        <v/>
      </c>
      <c r="F277" s="22" t="str">
        <f t="shared" si="2"/>
        <v/>
      </c>
    </row>
    <row r="278">
      <c r="A278" s="18" t="str">
        <f>'Cashflow Schedule'!B278</f>
        <v/>
      </c>
      <c r="B278" s="18" t="str">
        <f>'Cashflow Schedule'!E278</f>
        <v/>
      </c>
      <c r="C278" s="22" t="str">
        <f>IF(A278="","",Inputs!$C$6*EXP((Inputs!$C$8-Inputs!$C$7)*A278))</f>
        <v/>
      </c>
      <c r="D278" s="22" t="str">
        <f t="shared" si="1"/>
        <v/>
      </c>
      <c r="E278" s="21" t="str">
        <f>IF(A278="","",EXP(-Inputs!$C$8*A278))</f>
        <v/>
      </c>
      <c r="F278" s="22" t="str">
        <f t="shared" si="2"/>
        <v/>
      </c>
    </row>
    <row r="279">
      <c r="A279" s="18" t="str">
        <f>'Cashflow Schedule'!B279</f>
        <v/>
      </c>
      <c r="B279" s="18" t="str">
        <f>'Cashflow Schedule'!E279</f>
        <v/>
      </c>
      <c r="C279" s="22" t="str">
        <f>IF(A279="","",Inputs!$C$6*EXP((Inputs!$C$8-Inputs!$C$7)*A279))</f>
        <v/>
      </c>
      <c r="D279" s="22" t="str">
        <f t="shared" si="1"/>
        <v/>
      </c>
      <c r="E279" s="21" t="str">
        <f>IF(A279="","",EXP(-Inputs!$C$8*A279))</f>
        <v/>
      </c>
      <c r="F279" s="22" t="str">
        <f t="shared" si="2"/>
        <v/>
      </c>
    </row>
    <row r="280">
      <c r="A280" s="18" t="str">
        <f>'Cashflow Schedule'!B280</f>
        <v/>
      </c>
      <c r="B280" s="18" t="str">
        <f>'Cashflow Schedule'!E280</f>
        <v/>
      </c>
      <c r="C280" s="22" t="str">
        <f>IF(A280="","",Inputs!$C$6*EXP((Inputs!$C$8-Inputs!$C$7)*A280))</f>
        <v/>
      </c>
      <c r="D280" s="22" t="str">
        <f t="shared" si="1"/>
        <v/>
      </c>
      <c r="E280" s="21" t="str">
        <f>IF(A280="","",EXP(-Inputs!$C$8*A280))</f>
        <v/>
      </c>
      <c r="F280" s="22" t="str">
        <f t="shared" si="2"/>
        <v/>
      </c>
    </row>
    <row r="281">
      <c r="A281" s="18" t="str">
        <f>'Cashflow Schedule'!B281</f>
        <v/>
      </c>
      <c r="B281" s="18" t="str">
        <f>'Cashflow Schedule'!E281</f>
        <v/>
      </c>
      <c r="C281" s="22" t="str">
        <f>IF(A281="","",Inputs!$C$6*EXP((Inputs!$C$8-Inputs!$C$7)*A281))</f>
        <v/>
      </c>
      <c r="D281" s="22" t="str">
        <f t="shared" si="1"/>
        <v/>
      </c>
      <c r="E281" s="21" t="str">
        <f>IF(A281="","",EXP(-Inputs!$C$8*A281))</f>
        <v/>
      </c>
      <c r="F281" s="22" t="str">
        <f t="shared" si="2"/>
        <v/>
      </c>
    </row>
    <row r="282">
      <c r="A282" s="18" t="str">
        <f>'Cashflow Schedule'!B282</f>
        <v/>
      </c>
      <c r="B282" s="18" t="str">
        <f>'Cashflow Schedule'!E282</f>
        <v/>
      </c>
      <c r="C282" s="22" t="str">
        <f>IF(A282="","",Inputs!$C$6*EXP((Inputs!$C$8-Inputs!$C$7)*A282))</f>
        <v/>
      </c>
      <c r="D282" s="22" t="str">
        <f t="shared" si="1"/>
        <v/>
      </c>
      <c r="E282" s="21" t="str">
        <f>IF(A282="","",EXP(-Inputs!$C$8*A282))</f>
        <v/>
      </c>
      <c r="F282" s="22" t="str">
        <f t="shared" si="2"/>
        <v/>
      </c>
    </row>
    <row r="283">
      <c r="A283" s="18" t="str">
        <f>'Cashflow Schedule'!B283</f>
        <v/>
      </c>
      <c r="B283" s="18" t="str">
        <f>'Cashflow Schedule'!E283</f>
        <v/>
      </c>
      <c r="C283" s="22" t="str">
        <f>IF(A283="","",Inputs!$C$6*EXP((Inputs!$C$8-Inputs!$C$7)*A283))</f>
        <v/>
      </c>
      <c r="D283" s="22" t="str">
        <f t="shared" si="1"/>
        <v/>
      </c>
      <c r="E283" s="21" t="str">
        <f>IF(A283="","",EXP(-Inputs!$C$8*A283))</f>
        <v/>
      </c>
      <c r="F283" s="22" t="str">
        <f t="shared" si="2"/>
        <v/>
      </c>
    </row>
    <row r="284">
      <c r="A284" s="18" t="str">
        <f>'Cashflow Schedule'!B284</f>
        <v/>
      </c>
      <c r="B284" s="18" t="str">
        <f>'Cashflow Schedule'!E284</f>
        <v/>
      </c>
      <c r="C284" s="22" t="str">
        <f>IF(A284="","",Inputs!$C$6*EXP((Inputs!$C$8-Inputs!$C$7)*A284))</f>
        <v/>
      </c>
      <c r="D284" s="22" t="str">
        <f t="shared" si="1"/>
        <v/>
      </c>
      <c r="E284" s="21" t="str">
        <f>IF(A284="","",EXP(-Inputs!$C$8*A284))</f>
        <v/>
      </c>
      <c r="F284" s="22" t="str">
        <f t="shared" si="2"/>
        <v/>
      </c>
    </row>
    <row r="285">
      <c r="A285" s="18" t="str">
        <f>'Cashflow Schedule'!B285</f>
        <v/>
      </c>
      <c r="B285" s="18" t="str">
        <f>'Cashflow Schedule'!E285</f>
        <v/>
      </c>
      <c r="C285" s="22" t="str">
        <f>IF(A285="","",Inputs!$C$6*EXP((Inputs!$C$8-Inputs!$C$7)*A285))</f>
        <v/>
      </c>
      <c r="D285" s="22" t="str">
        <f t="shared" si="1"/>
        <v/>
      </c>
      <c r="E285" s="21" t="str">
        <f>IF(A285="","",EXP(-Inputs!$C$8*A285))</f>
        <v/>
      </c>
      <c r="F285" s="22" t="str">
        <f t="shared" si="2"/>
        <v/>
      </c>
    </row>
    <row r="286">
      <c r="A286" s="18" t="str">
        <f>'Cashflow Schedule'!B286</f>
        <v/>
      </c>
      <c r="B286" s="18" t="str">
        <f>'Cashflow Schedule'!E286</f>
        <v/>
      </c>
      <c r="C286" s="22" t="str">
        <f>IF(A286="","",Inputs!$C$6*EXP((Inputs!$C$8-Inputs!$C$7)*A286))</f>
        <v/>
      </c>
      <c r="D286" s="22" t="str">
        <f t="shared" si="1"/>
        <v/>
      </c>
      <c r="E286" s="21" t="str">
        <f>IF(A286="","",EXP(-Inputs!$C$8*A286))</f>
        <v/>
      </c>
      <c r="F286" s="22" t="str">
        <f t="shared" si="2"/>
        <v/>
      </c>
    </row>
    <row r="287">
      <c r="A287" s="18" t="str">
        <f>'Cashflow Schedule'!B287</f>
        <v/>
      </c>
      <c r="B287" s="18" t="str">
        <f>'Cashflow Schedule'!E287</f>
        <v/>
      </c>
      <c r="C287" s="22" t="str">
        <f>IF(A287="","",Inputs!$C$6*EXP((Inputs!$C$8-Inputs!$C$7)*A287))</f>
        <v/>
      </c>
      <c r="D287" s="22" t="str">
        <f t="shared" si="1"/>
        <v/>
      </c>
      <c r="E287" s="21" t="str">
        <f>IF(A287="","",EXP(-Inputs!$C$8*A287))</f>
        <v/>
      </c>
      <c r="F287" s="22" t="str">
        <f t="shared" si="2"/>
        <v/>
      </c>
    </row>
    <row r="288">
      <c r="A288" s="18" t="str">
        <f>'Cashflow Schedule'!B288</f>
        <v/>
      </c>
      <c r="B288" s="18" t="str">
        <f>'Cashflow Schedule'!E288</f>
        <v/>
      </c>
      <c r="C288" s="22" t="str">
        <f>IF(A288="","",Inputs!$C$6*EXP((Inputs!$C$8-Inputs!$C$7)*A288))</f>
        <v/>
      </c>
      <c r="D288" s="22" t="str">
        <f t="shared" si="1"/>
        <v/>
      </c>
      <c r="E288" s="21" t="str">
        <f>IF(A288="","",EXP(-Inputs!$C$8*A288))</f>
        <v/>
      </c>
      <c r="F288" s="22" t="str">
        <f t="shared" si="2"/>
        <v/>
      </c>
    </row>
    <row r="289">
      <c r="A289" s="18" t="str">
        <f>'Cashflow Schedule'!B289</f>
        <v/>
      </c>
      <c r="B289" s="18" t="str">
        <f>'Cashflow Schedule'!E289</f>
        <v/>
      </c>
      <c r="C289" s="22" t="str">
        <f>IF(A289="","",Inputs!$C$6*EXP((Inputs!$C$8-Inputs!$C$7)*A289))</f>
        <v/>
      </c>
      <c r="D289" s="22" t="str">
        <f t="shared" si="1"/>
        <v/>
      </c>
      <c r="E289" s="21" t="str">
        <f>IF(A289="","",EXP(-Inputs!$C$8*A289))</f>
        <v/>
      </c>
      <c r="F289" s="22" t="str">
        <f t="shared" si="2"/>
        <v/>
      </c>
    </row>
    <row r="290">
      <c r="A290" s="18" t="str">
        <f>'Cashflow Schedule'!B290</f>
        <v/>
      </c>
      <c r="B290" s="18" t="str">
        <f>'Cashflow Schedule'!E290</f>
        <v/>
      </c>
      <c r="C290" s="22" t="str">
        <f>IF(A290="","",Inputs!$C$6*EXP((Inputs!$C$8-Inputs!$C$7)*A290))</f>
        <v/>
      </c>
      <c r="D290" s="22" t="str">
        <f t="shared" si="1"/>
        <v/>
      </c>
      <c r="E290" s="21" t="str">
        <f>IF(A290="","",EXP(-Inputs!$C$8*A290))</f>
        <v/>
      </c>
      <c r="F290" s="22" t="str">
        <f t="shared" si="2"/>
        <v/>
      </c>
    </row>
    <row r="291">
      <c r="A291" s="18" t="str">
        <f>'Cashflow Schedule'!B291</f>
        <v/>
      </c>
      <c r="B291" s="18" t="str">
        <f>'Cashflow Schedule'!E291</f>
        <v/>
      </c>
      <c r="C291" s="22" t="str">
        <f>IF(A291="","",Inputs!$C$6*EXP((Inputs!$C$8-Inputs!$C$7)*A291))</f>
        <v/>
      </c>
      <c r="D291" s="22" t="str">
        <f t="shared" si="1"/>
        <v/>
      </c>
      <c r="E291" s="21" t="str">
        <f>IF(A291="","",EXP(-Inputs!$C$8*A291))</f>
        <v/>
      </c>
      <c r="F291" s="22" t="str">
        <f t="shared" si="2"/>
        <v/>
      </c>
    </row>
    <row r="292">
      <c r="A292" s="18" t="str">
        <f>'Cashflow Schedule'!B292</f>
        <v/>
      </c>
      <c r="B292" s="18" t="str">
        <f>'Cashflow Schedule'!E292</f>
        <v/>
      </c>
      <c r="C292" s="22" t="str">
        <f>IF(A292="","",Inputs!$C$6*EXP((Inputs!$C$8-Inputs!$C$7)*A292))</f>
        <v/>
      </c>
      <c r="D292" s="22" t="str">
        <f t="shared" si="1"/>
        <v/>
      </c>
      <c r="E292" s="21" t="str">
        <f>IF(A292="","",EXP(-Inputs!$C$8*A292))</f>
        <v/>
      </c>
      <c r="F292" s="22" t="str">
        <f t="shared" si="2"/>
        <v/>
      </c>
    </row>
    <row r="293">
      <c r="A293" s="18" t="str">
        <f>'Cashflow Schedule'!B293</f>
        <v/>
      </c>
      <c r="B293" s="18" t="str">
        <f>'Cashflow Schedule'!E293</f>
        <v/>
      </c>
      <c r="C293" s="22" t="str">
        <f>IF(A293="","",Inputs!$C$6*EXP((Inputs!$C$8-Inputs!$C$7)*A293))</f>
        <v/>
      </c>
      <c r="D293" s="22" t="str">
        <f t="shared" si="1"/>
        <v/>
      </c>
      <c r="E293" s="21" t="str">
        <f>IF(A293="","",EXP(-Inputs!$C$8*A293))</f>
        <v/>
      </c>
      <c r="F293" s="22" t="str">
        <f t="shared" si="2"/>
        <v/>
      </c>
    </row>
    <row r="294">
      <c r="A294" s="18" t="str">
        <f>'Cashflow Schedule'!B294</f>
        <v/>
      </c>
      <c r="B294" s="18" t="str">
        <f>'Cashflow Schedule'!E294</f>
        <v/>
      </c>
      <c r="C294" s="22" t="str">
        <f>IF(A294="","",Inputs!$C$6*EXP((Inputs!$C$8-Inputs!$C$7)*A294))</f>
        <v/>
      </c>
      <c r="D294" s="22" t="str">
        <f t="shared" si="1"/>
        <v/>
      </c>
      <c r="E294" s="21" t="str">
        <f>IF(A294="","",EXP(-Inputs!$C$8*A294))</f>
        <v/>
      </c>
      <c r="F294" s="22" t="str">
        <f t="shared" si="2"/>
        <v/>
      </c>
    </row>
    <row r="295">
      <c r="A295" s="18" t="str">
        <f>'Cashflow Schedule'!B295</f>
        <v/>
      </c>
      <c r="B295" s="18" t="str">
        <f>'Cashflow Schedule'!E295</f>
        <v/>
      </c>
      <c r="C295" s="22" t="str">
        <f>IF(A295="","",Inputs!$C$6*EXP((Inputs!$C$8-Inputs!$C$7)*A295))</f>
        <v/>
      </c>
      <c r="D295" s="22" t="str">
        <f t="shared" si="1"/>
        <v/>
      </c>
      <c r="E295" s="21" t="str">
        <f>IF(A295="","",EXP(-Inputs!$C$8*A295))</f>
        <v/>
      </c>
      <c r="F295" s="22" t="str">
        <f t="shared" si="2"/>
        <v/>
      </c>
    </row>
    <row r="296">
      <c r="A296" s="18" t="str">
        <f>'Cashflow Schedule'!B296</f>
        <v/>
      </c>
      <c r="B296" s="18" t="str">
        <f>'Cashflow Schedule'!E296</f>
        <v/>
      </c>
      <c r="C296" s="22" t="str">
        <f>IF(A296="","",Inputs!$C$6*EXP((Inputs!$C$8-Inputs!$C$7)*A296))</f>
        <v/>
      </c>
      <c r="D296" s="22" t="str">
        <f t="shared" si="1"/>
        <v/>
      </c>
      <c r="E296" s="21" t="str">
        <f>IF(A296="","",EXP(-Inputs!$C$8*A296))</f>
        <v/>
      </c>
      <c r="F296" s="22" t="str">
        <f t="shared" si="2"/>
        <v/>
      </c>
    </row>
    <row r="297">
      <c r="A297" s="18" t="str">
        <f>'Cashflow Schedule'!B297</f>
        <v/>
      </c>
      <c r="B297" s="18" t="str">
        <f>'Cashflow Schedule'!E297</f>
        <v/>
      </c>
      <c r="C297" s="22" t="str">
        <f>IF(A297="","",Inputs!$C$6*EXP((Inputs!$C$8-Inputs!$C$7)*A297))</f>
        <v/>
      </c>
      <c r="D297" s="22" t="str">
        <f t="shared" si="1"/>
        <v/>
      </c>
      <c r="E297" s="21" t="str">
        <f>IF(A297="","",EXP(-Inputs!$C$8*A297))</f>
        <v/>
      </c>
      <c r="F297" s="22" t="str">
        <f t="shared" si="2"/>
        <v/>
      </c>
    </row>
    <row r="298">
      <c r="A298" s="18" t="str">
        <f>'Cashflow Schedule'!B298</f>
        <v/>
      </c>
      <c r="B298" s="18" t="str">
        <f>'Cashflow Schedule'!E298</f>
        <v/>
      </c>
      <c r="C298" s="22" t="str">
        <f>IF(A298="","",Inputs!$C$6*EXP((Inputs!$C$8-Inputs!$C$7)*A298))</f>
        <v/>
      </c>
      <c r="D298" s="22" t="str">
        <f t="shared" si="1"/>
        <v/>
      </c>
      <c r="E298" s="21" t="str">
        <f>IF(A298="","",EXP(-Inputs!$C$8*A298))</f>
        <v/>
      </c>
      <c r="F298" s="22" t="str">
        <f t="shared" si="2"/>
        <v/>
      </c>
    </row>
    <row r="299">
      <c r="A299" s="18" t="str">
        <f>'Cashflow Schedule'!B299</f>
        <v/>
      </c>
      <c r="B299" s="18" t="str">
        <f>'Cashflow Schedule'!E299</f>
        <v/>
      </c>
      <c r="C299" s="22" t="str">
        <f>IF(A299="","",Inputs!$C$6*EXP((Inputs!$C$8-Inputs!$C$7)*A299))</f>
        <v/>
      </c>
      <c r="D299" s="22" t="str">
        <f t="shared" si="1"/>
        <v/>
      </c>
      <c r="E299" s="21" t="str">
        <f>IF(A299="","",EXP(-Inputs!$C$8*A299))</f>
        <v/>
      </c>
      <c r="F299" s="22" t="str">
        <f t="shared" si="2"/>
        <v/>
      </c>
    </row>
    <row r="300">
      <c r="A300" s="18" t="str">
        <f>'Cashflow Schedule'!B300</f>
        <v/>
      </c>
      <c r="B300" s="18" t="str">
        <f>'Cashflow Schedule'!E300</f>
        <v/>
      </c>
      <c r="C300" s="22" t="str">
        <f>IF(A300="","",Inputs!$C$6*EXP((Inputs!$C$8-Inputs!$C$7)*A300))</f>
        <v/>
      </c>
      <c r="D300" s="22" t="str">
        <f t="shared" si="1"/>
        <v/>
      </c>
      <c r="E300" s="21" t="str">
        <f>IF(A300="","",EXP(-Inputs!$C$8*A300))</f>
        <v/>
      </c>
      <c r="F300" s="22" t="str">
        <f t="shared" si="2"/>
        <v/>
      </c>
    </row>
    <row r="301">
      <c r="A301" s="18" t="str">
        <f>'Cashflow Schedule'!B301</f>
        <v/>
      </c>
      <c r="B301" s="18" t="str">
        <f>'Cashflow Schedule'!E301</f>
        <v/>
      </c>
      <c r="C301" s="22" t="str">
        <f>IF(A301="","",Inputs!$C$6*EXP((Inputs!$C$8-Inputs!$C$7)*A301))</f>
        <v/>
      </c>
      <c r="D301" s="22" t="str">
        <f t="shared" si="1"/>
        <v/>
      </c>
      <c r="E301" s="21" t="str">
        <f>IF(A301="","",EXP(-Inputs!$C$8*A301))</f>
        <v/>
      </c>
      <c r="F301" s="22" t="str">
        <f t="shared" si="2"/>
        <v/>
      </c>
    </row>
    <row r="302">
      <c r="A302" s="18" t="str">
        <f>'Cashflow Schedule'!B302</f>
        <v/>
      </c>
      <c r="B302" s="18" t="str">
        <f>'Cashflow Schedule'!E302</f>
        <v/>
      </c>
      <c r="C302" s="22" t="str">
        <f>IF(A302="","",Inputs!$C$6*EXP((Inputs!$C$8-Inputs!$C$7)*A302))</f>
        <v/>
      </c>
      <c r="D302" s="22" t="str">
        <f t="shared" si="1"/>
        <v/>
      </c>
      <c r="E302" s="21" t="str">
        <f>IF(A302="","",EXP(-Inputs!$C$8*A302))</f>
        <v/>
      </c>
      <c r="F302" s="22" t="str">
        <f t="shared" si="2"/>
        <v/>
      </c>
    </row>
    <row r="303">
      <c r="A303" s="18" t="str">
        <f>'Cashflow Schedule'!B303</f>
        <v/>
      </c>
      <c r="B303" s="18" t="str">
        <f>'Cashflow Schedule'!E303</f>
        <v/>
      </c>
      <c r="C303" s="22" t="str">
        <f>IF(A303="","",Inputs!$C$6*EXP((Inputs!$C$8-Inputs!$C$7)*A303))</f>
        <v/>
      </c>
      <c r="D303" s="22" t="str">
        <f t="shared" si="1"/>
        <v/>
      </c>
      <c r="E303" s="21" t="str">
        <f>IF(A303="","",EXP(-Inputs!$C$8*A303))</f>
        <v/>
      </c>
      <c r="F303" s="22" t="str">
        <f t="shared" si="2"/>
        <v/>
      </c>
    </row>
    <row r="304">
      <c r="A304" s="18" t="str">
        <f>'Cashflow Schedule'!B304</f>
        <v/>
      </c>
      <c r="B304" s="18" t="str">
        <f>'Cashflow Schedule'!E304</f>
        <v/>
      </c>
      <c r="C304" s="22" t="str">
        <f>IF(A304="","",Inputs!$C$6*EXP((Inputs!$C$8-Inputs!$C$7)*A304))</f>
        <v/>
      </c>
      <c r="D304" s="22" t="str">
        <f t="shared" si="1"/>
        <v/>
      </c>
      <c r="E304" s="21" t="str">
        <f>IF(A304="","",EXP(-Inputs!$C$8*A304))</f>
        <v/>
      </c>
      <c r="F304" s="22" t="str">
        <f t="shared" si="2"/>
        <v/>
      </c>
    </row>
    <row r="305">
      <c r="A305" s="18" t="str">
        <f>'Cashflow Schedule'!B305</f>
        <v/>
      </c>
      <c r="B305" s="18" t="str">
        <f>'Cashflow Schedule'!E305</f>
        <v/>
      </c>
      <c r="C305" s="22" t="str">
        <f>IF(A305="","",Inputs!$C$6*EXP((Inputs!$C$8-Inputs!$C$7)*A305))</f>
        <v/>
      </c>
      <c r="D305" s="22" t="str">
        <f t="shared" si="1"/>
        <v/>
      </c>
      <c r="E305" s="21" t="str">
        <f>IF(A305="","",EXP(-Inputs!$C$8*A305))</f>
        <v/>
      </c>
      <c r="F305" s="22" t="str">
        <f t="shared" si="2"/>
        <v/>
      </c>
    </row>
    <row r="306">
      <c r="A306" s="18" t="str">
        <f>'Cashflow Schedule'!B306</f>
        <v/>
      </c>
      <c r="B306" s="18" t="str">
        <f>'Cashflow Schedule'!E306</f>
        <v/>
      </c>
      <c r="C306" s="22" t="str">
        <f>IF(A306="","",Inputs!$C$6*EXP((Inputs!$C$8-Inputs!$C$7)*A306))</f>
        <v/>
      </c>
      <c r="D306" s="22" t="str">
        <f t="shared" si="1"/>
        <v/>
      </c>
      <c r="E306" s="21" t="str">
        <f>IF(A306="","",EXP(-Inputs!$C$8*A306))</f>
        <v/>
      </c>
      <c r="F306" s="22" t="str">
        <f t="shared" si="2"/>
        <v/>
      </c>
    </row>
    <row r="307">
      <c r="A307" s="18" t="str">
        <f>'Cashflow Schedule'!B307</f>
        <v/>
      </c>
      <c r="B307" s="18" t="str">
        <f>'Cashflow Schedule'!E307</f>
        <v/>
      </c>
      <c r="C307" s="22" t="str">
        <f>IF(A307="","",Inputs!$C$6*EXP((Inputs!$C$8-Inputs!$C$7)*A307))</f>
        <v/>
      </c>
      <c r="D307" s="22" t="str">
        <f t="shared" si="1"/>
        <v/>
      </c>
      <c r="E307" s="21" t="str">
        <f>IF(A307="","",EXP(-Inputs!$C$8*A307))</f>
        <v/>
      </c>
      <c r="F307" s="22" t="str">
        <f t="shared" si="2"/>
        <v/>
      </c>
    </row>
    <row r="308">
      <c r="A308" s="18" t="str">
        <f>'Cashflow Schedule'!B308</f>
        <v/>
      </c>
      <c r="B308" s="18" t="str">
        <f>'Cashflow Schedule'!E308</f>
        <v/>
      </c>
      <c r="C308" s="22" t="str">
        <f>IF(A308="","",Inputs!$C$6*EXP((Inputs!$C$8-Inputs!$C$7)*A308))</f>
        <v/>
      </c>
      <c r="D308" s="22" t="str">
        <f t="shared" si="1"/>
        <v/>
      </c>
      <c r="E308" s="21" t="str">
        <f>IF(A308="","",EXP(-Inputs!$C$8*A308))</f>
        <v/>
      </c>
      <c r="F308" s="22" t="str">
        <f t="shared" si="2"/>
        <v/>
      </c>
    </row>
    <row r="309">
      <c r="A309" s="18" t="str">
        <f>'Cashflow Schedule'!B309</f>
        <v/>
      </c>
      <c r="B309" s="18" t="str">
        <f>'Cashflow Schedule'!E309</f>
        <v/>
      </c>
      <c r="C309" s="22" t="str">
        <f>IF(A309="","",Inputs!$C$6*EXP((Inputs!$C$8-Inputs!$C$7)*A309))</f>
        <v/>
      </c>
      <c r="D309" s="22" t="str">
        <f t="shared" si="1"/>
        <v/>
      </c>
      <c r="E309" s="21" t="str">
        <f>IF(A309="","",EXP(-Inputs!$C$8*A309))</f>
        <v/>
      </c>
      <c r="F309" s="22" t="str">
        <f t="shared" si="2"/>
        <v/>
      </c>
    </row>
    <row r="310">
      <c r="A310" s="18" t="str">
        <f>'Cashflow Schedule'!B310</f>
        <v/>
      </c>
      <c r="B310" s="18" t="str">
        <f>'Cashflow Schedule'!E310</f>
        <v/>
      </c>
      <c r="C310" s="22" t="str">
        <f>IF(A310="","",Inputs!$C$6*EXP((Inputs!$C$8-Inputs!$C$7)*A310))</f>
        <v/>
      </c>
      <c r="D310" s="22" t="str">
        <f t="shared" si="1"/>
        <v/>
      </c>
      <c r="E310" s="21" t="str">
        <f>IF(A310="","",EXP(-Inputs!$C$8*A310))</f>
        <v/>
      </c>
      <c r="F310" s="22" t="str">
        <f t="shared" si="2"/>
        <v/>
      </c>
    </row>
    <row r="311">
      <c r="A311" s="18" t="str">
        <f>'Cashflow Schedule'!B311</f>
        <v/>
      </c>
      <c r="B311" s="18" t="str">
        <f>'Cashflow Schedule'!E311</f>
        <v/>
      </c>
      <c r="C311" s="22" t="str">
        <f>IF(A311="","",Inputs!$C$6*EXP((Inputs!$C$8-Inputs!$C$7)*A311))</f>
        <v/>
      </c>
      <c r="D311" s="22" t="str">
        <f t="shared" si="1"/>
        <v/>
      </c>
      <c r="E311" s="21" t="str">
        <f>IF(A311="","",EXP(-Inputs!$C$8*A311))</f>
        <v/>
      </c>
      <c r="F311" s="22" t="str">
        <f t="shared" si="2"/>
        <v/>
      </c>
    </row>
    <row r="312">
      <c r="A312" s="18" t="str">
        <f>'Cashflow Schedule'!B312</f>
        <v/>
      </c>
      <c r="B312" s="18" t="str">
        <f>'Cashflow Schedule'!E312</f>
        <v/>
      </c>
      <c r="C312" s="22" t="str">
        <f>IF(A312="","",Inputs!$C$6*EXP((Inputs!$C$8-Inputs!$C$7)*A312))</f>
        <v/>
      </c>
      <c r="D312" s="22" t="str">
        <f t="shared" si="1"/>
        <v/>
      </c>
      <c r="E312" s="21" t="str">
        <f>IF(A312="","",EXP(-Inputs!$C$8*A312))</f>
        <v/>
      </c>
      <c r="F312" s="22" t="str">
        <f t="shared" si="2"/>
        <v/>
      </c>
    </row>
    <row r="313">
      <c r="A313" s="18" t="str">
        <f>'Cashflow Schedule'!B313</f>
        <v/>
      </c>
      <c r="B313" s="18" t="str">
        <f>'Cashflow Schedule'!E313</f>
        <v/>
      </c>
      <c r="C313" s="22" t="str">
        <f>IF(A313="","",Inputs!$C$6*EXP((Inputs!$C$8-Inputs!$C$7)*A313))</f>
        <v/>
      </c>
      <c r="D313" s="22" t="str">
        <f t="shared" si="1"/>
        <v/>
      </c>
      <c r="E313" s="21" t="str">
        <f>IF(A313="","",EXP(-Inputs!$C$8*A313))</f>
        <v/>
      </c>
      <c r="F313" s="22" t="str">
        <f t="shared" si="2"/>
        <v/>
      </c>
    </row>
    <row r="314">
      <c r="A314" s="18" t="str">
        <f>'Cashflow Schedule'!B314</f>
        <v/>
      </c>
      <c r="B314" s="18" t="str">
        <f>'Cashflow Schedule'!E314</f>
        <v/>
      </c>
      <c r="C314" s="22" t="str">
        <f>IF(A314="","",Inputs!$C$6*EXP((Inputs!$C$8-Inputs!$C$7)*A314))</f>
        <v/>
      </c>
      <c r="D314" s="22" t="str">
        <f t="shared" si="1"/>
        <v/>
      </c>
      <c r="E314" s="21" t="str">
        <f>IF(A314="","",EXP(-Inputs!$C$8*A314))</f>
        <v/>
      </c>
      <c r="F314" s="22" t="str">
        <f t="shared" si="2"/>
        <v/>
      </c>
    </row>
    <row r="315">
      <c r="A315" s="18" t="str">
        <f>'Cashflow Schedule'!B315</f>
        <v/>
      </c>
      <c r="B315" s="18" t="str">
        <f>'Cashflow Schedule'!E315</f>
        <v/>
      </c>
      <c r="C315" s="22" t="str">
        <f>IF(A315="","",Inputs!$C$6*EXP((Inputs!$C$8-Inputs!$C$7)*A315))</f>
        <v/>
      </c>
      <c r="D315" s="22" t="str">
        <f t="shared" si="1"/>
        <v/>
      </c>
      <c r="E315" s="21" t="str">
        <f>IF(A315="","",EXP(-Inputs!$C$8*A315))</f>
        <v/>
      </c>
      <c r="F315" s="22" t="str">
        <f t="shared" si="2"/>
        <v/>
      </c>
    </row>
    <row r="316">
      <c r="A316" s="18" t="str">
        <f>'Cashflow Schedule'!B316</f>
        <v/>
      </c>
      <c r="B316" s="18" t="str">
        <f>'Cashflow Schedule'!E316</f>
        <v/>
      </c>
      <c r="C316" s="22" t="str">
        <f>IF(A316="","",Inputs!$C$6*EXP((Inputs!$C$8-Inputs!$C$7)*A316))</f>
        <v/>
      </c>
      <c r="D316" s="22" t="str">
        <f t="shared" si="1"/>
        <v/>
      </c>
      <c r="E316" s="21" t="str">
        <f>IF(A316="","",EXP(-Inputs!$C$8*A316))</f>
        <v/>
      </c>
      <c r="F316" s="22" t="str">
        <f t="shared" si="2"/>
        <v/>
      </c>
    </row>
    <row r="317">
      <c r="A317" s="18" t="str">
        <f>'Cashflow Schedule'!B317</f>
        <v/>
      </c>
      <c r="B317" s="18" t="str">
        <f>'Cashflow Schedule'!E317</f>
        <v/>
      </c>
      <c r="C317" s="22" t="str">
        <f>IF(A317="","",Inputs!$C$6*EXP((Inputs!$C$8-Inputs!$C$7)*A317))</f>
        <v/>
      </c>
      <c r="D317" s="22" t="str">
        <f t="shared" si="1"/>
        <v/>
      </c>
      <c r="E317" s="21" t="str">
        <f>IF(A317="","",EXP(-Inputs!$C$8*A317))</f>
        <v/>
      </c>
      <c r="F317" s="22" t="str">
        <f t="shared" si="2"/>
        <v/>
      </c>
    </row>
    <row r="318">
      <c r="A318" s="18" t="str">
        <f>'Cashflow Schedule'!B318</f>
        <v/>
      </c>
      <c r="B318" s="18" t="str">
        <f>'Cashflow Schedule'!E318</f>
        <v/>
      </c>
      <c r="C318" s="22" t="str">
        <f>IF(A318="","",Inputs!$C$6*EXP((Inputs!$C$8-Inputs!$C$7)*A318))</f>
        <v/>
      </c>
      <c r="D318" s="22" t="str">
        <f t="shared" si="1"/>
        <v/>
      </c>
      <c r="E318" s="21" t="str">
        <f>IF(A318="","",EXP(-Inputs!$C$8*A318))</f>
        <v/>
      </c>
      <c r="F318" s="22" t="str">
        <f t="shared" si="2"/>
        <v/>
      </c>
    </row>
    <row r="319">
      <c r="A319" s="18" t="str">
        <f>'Cashflow Schedule'!B319</f>
        <v/>
      </c>
      <c r="B319" s="18" t="str">
        <f>'Cashflow Schedule'!E319</f>
        <v/>
      </c>
      <c r="C319" s="22" t="str">
        <f>IF(A319="","",Inputs!$C$6*EXP((Inputs!$C$8-Inputs!$C$7)*A319))</f>
        <v/>
      </c>
      <c r="D319" s="22" t="str">
        <f t="shared" si="1"/>
        <v/>
      </c>
      <c r="E319" s="21" t="str">
        <f>IF(A319="","",EXP(-Inputs!$C$8*A319))</f>
        <v/>
      </c>
      <c r="F319" s="22" t="str">
        <f t="shared" si="2"/>
        <v/>
      </c>
    </row>
    <row r="320">
      <c r="A320" s="18" t="str">
        <f>'Cashflow Schedule'!B320</f>
        <v/>
      </c>
      <c r="B320" s="18" t="str">
        <f>'Cashflow Schedule'!E320</f>
        <v/>
      </c>
      <c r="C320" s="22" t="str">
        <f>IF(A320="","",Inputs!$C$6*EXP((Inputs!$C$8-Inputs!$C$7)*A320))</f>
        <v/>
      </c>
      <c r="D320" s="22" t="str">
        <f t="shared" si="1"/>
        <v/>
      </c>
      <c r="E320" s="21" t="str">
        <f>IF(A320="","",EXP(-Inputs!$C$8*A320))</f>
        <v/>
      </c>
      <c r="F320" s="22" t="str">
        <f t="shared" si="2"/>
        <v/>
      </c>
    </row>
    <row r="321">
      <c r="A321" s="18" t="str">
        <f>'Cashflow Schedule'!B321</f>
        <v/>
      </c>
      <c r="B321" s="18" t="str">
        <f>'Cashflow Schedule'!E321</f>
        <v/>
      </c>
      <c r="C321" s="22" t="str">
        <f>IF(A321="","",Inputs!$C$6*EXP((Inputs!$C$8-Inputs!$C$7)*A321))</f>
        <v/>
      </c>
      <c r="D321" s="22" t="str">
        <f t="shared" si="1"/>
        <v/>
      </c>
      <c r="E321" s="21" t="str">
        <f>IF(A321="","",EXP(-Inputs!$C$8*A321))</f>
        <v/>
      </c>
      <c r="F321" s="22" t="str">
        <f t="shared" si="2"/>
        <v/>
      </c>
    </row>
    <row r="322">
      <c r="A322" s="18" t="str">
        <f>'Cashflow Schedule'!B322</f>
        <v/>
      </c>
      <c r="B322" s="18" t="str">
        <f>'Cashflow Schedule'!E322</f>
        <v/>
      </c>
      <c r="C322" s="22" t="str">
        <f>IF(A322="","",Inputs!$C$6*EXP((Inputs!$C$8-Inputs!$C$7)*A322))</f>
        <v/>
      </c>
      <c r="D322" s="22" t="str">
        <f t="shared" si="1"/>
        <v/>
      </c>
      <c r="E322" s="21" t="str">
        <f>IF(A322="","",EXP(-Inputs!$C$8*A322))</f>
        <v/>
      </c>
      <c r="F322" s="22" t="str">
        <f t="shared" si="2"/>
        <v/>
      </c>
    </row>
    <row r="323">
      <c r="A323" s="18" t="str">
        <f>'Cashflow Schedule'!B323</f>
        <v/>
      </c>
      <c r="B323" s="18" t="str">
        <f>'Cashflow Schedule'!E323</f>
        <v/>
      </c>
      <c r="C323" s="22" t="str">
        <f>IF(A323="","",Inputs!$C$6*EXP((Inputs!$C$8-Inputs!$C$7)*A323))</f>
        <v/>
      </c>
      <c r="D323" s="22" t="str">
        <f t="shared" si="1"/>
        <v/>
      </c>
      <c r="E323" s="21" t="str">
        <f>IF(A323="","",EXP(-Inputs!$C$8*A323))</f>
        <v/>
      </c>
      <c r="F323" s="22" t="str">
        <f t="shared" si="2"/>
        <v/>
      </c>
    </row>
    <row r="324">
      <c r="A324" s="18" t="str">
        <f>'Cashflow Schedule'!B324</f>
        <v/>
      </c>
      <c r="B324" s="18" t="str">
        <f>'Cashflow Schedule'!E324</f>
        <v/>
      </c>
      <c r="C324" s="22" t="str">
        <f>IF(A324="","",Inputs!$C$6*EXP((Inputs!$C$8-Inputs!$C$7)*A324))</f>
        <v/>
      </c>
      <c r="D324" s="22" t="str">
        <f t="shared" si="1"/>
        <v/>
      </c>
      <c r="E324" s="21" t="str">
        <f>IF(A324="","",EXP(-Inputs!$C$8*A324))</f>
        <v/>
      </c>
      <c r="F324" s="22" t="str">
        <f t="shared" si="2"/>
        <v/>
      </c>
    </row>
    <row r="325">
      <c r="A325" s="18" t="str">
        <f>'Cashflow Schedule'!B325</f>
        <v/>
      </c>
      <c r="B325" s="18" t="str">
        <f>'Cashflow Schedule'!E325</f>
        <v/>
      </c>
      <c r="C325" s="22" t="str">
        <f>IF(A325="","",Inputs!$C$6*EXP((Inputs!$C$8-Inputs!$C$7)*A325))</f>
        <v/>
      </c>
      <c r="D325" s="22" t="str">
        <f t="shared" si="1"/>
        <v/>
      </c>
      <c r="E325" s="21" t="str">
        <f>IF(A325="","",EXP(-Inputs!$C$8*A325))</f>
        <v/>
      </c>
      <c r="F325" s="22" t="str">
        <f t="shared" si="2"/>
        <v/>
      </c>
    </row>
    <row r="326">
      <c r="A326" s="18" t="str">
        <f>'Cashflow Schedule'!B326</f>
        <v/>
      </c>
      <c r="B326" s="18" t="str">
        <f>'Cashflow Schedule'!E326</f>
        <v/>
      </c>
      <c r="C326" s="22" t="str">
        <f>IF(A326="","",Inputs!$C$6*EXP((Inputs!$C$8-Inputs!$C$7)*A326))</f>
        <v/>
      </c>
      <c r="D326" s="22" t="str">
        <f t="shared" si="1"/>
        <v/>
      </c>
      <c r="E326" s="21" t="str">
        <f>IF(A326="","",EXP(-Inputs!$C$8*A326))</f>
        <v/>
      </c>
      <c r="F326" s="22" t="str">
        <f t="shared" si="2"/>
        <v/>
      </c>
    </row>
    <row r="327">
      <c r="A327" s="18" t="str">
        <f>'Cashflow Schedule'!B327</f>
        <v/>
      </c>
      <c r="B327" s="18" t="str">
        <f>'Cashflow Schedule'!E327</f>
        <v/>
      </c>
      <c r="C327" s="22" t="str">
        <f>IF(A327="","",Inputs!$C$6*EXP((Inputs!$C$8-Inputs!$C$7)*A327))</f>
        <v/>
      </c>
      <c r="D327" s="22" t="str">
        <f t="shared" si="1"/>
        <v/>
      </c>
      <c r="E327" s="21" t="str">
        <f>IF(A327="","",EXP(-Inputs!$C$8*A327))</f>
        <v/>
      </c>
      <c r="F327" s="22" t="str">
        <f t="shared" si="2"/>
        <v/>
      </c>
    </row>
    <row r="328">
      <c r="A328" s="18" t="str">
        <f>'Cashflow Schedule'!B328</f>
        <v/>
      </c>
      <c r="B328" s="18" t="str">
        <f>'Cashflow Schedule'!E328</f>
        <v/>
      </c>
      <c r="C328" s="22" t="str">
        <f>IF(A328="","",Inputs!$C$6*EXP((Inputs!$C$8-Inputs!$C$7)*A328))</f>
        <v/>
      </c>
      <c r="D328" s="22" t="str">
        <f t="shared" si="1"/>
        <v/>
      </c>
      <c r="E328" s="21" t="str">
        <f>IF(A328="","",EXP(-Inputs!$C$8*A328))</f>
        <v/>
      </c>
      <c r="F328" s="22" t="str">
        <f t="shared" si="2"/>
        <v/>
      </c>
    </row>
    <row r="329">
      <c r="A329" s="18" t="str">
        <f>'Cashflow Schedule'!B329</f>
        <v/>
      </c>
      <c r="B329" s="18" t="str">
        <f>'Cashflow Schedule'!E329</f>
        <v/>
      </c>
      <c r="C329" s="22" t="str">
        <f>IF(A329="","",Inputs!$C$6*EXP((Inputs!$C$8-Inputs!$C$7)*A329))</f>
        <v/>
      </c>
      <c r="D329" s="22" t="str">
        <f t="shared" si="1"/>
        <v/>
      </c>
      <c r="E329" s="21" t="str">
        <f>IF(A329="","",EXP(-Inputs!$C$8*A329))</f>
        <v/>
      </c>
      <c r="F329" s="22" t="str">
        <f t="shared" si="2"/>
        <v/>
      </c>
    </row>
    <row r="330">
      <c r="A330" s="18" t="str">
        <f>'Cashflow Schedule'!B330</f>
        <v/>
      </c>
      <c r="B330" s="18" t="str">
        <f>'Cashflow Schedule'!E330</f>
        <v/>
      </c>
      <c r="C330" s="22" t="str">
        <f>IF(A330="","",Inputs!$C$6*EXP((Inputs!$C$8-Inputs!$C$7)*A330))</f>
        <v/>
      </c>
      <c r="D330" s="22" t="str">
        <f t="shared" si="1"/>
        <v/>
      </c>
      <c r="E330" s="21" t="str">
        <f>IF(A330="","",EXP(-Inputs!$C$8*A330))</f>
        <v/>
      </c>
      <c r="F330" s="22" t="str">
        <f t="shared" si="2"/>
        <v/>
      </c>
    </row>
    <row r="331">
      <c r="A331" s="18" t="str">
        <f>'Cashflow Schedule'!B331</f>
        <v/>
      </c>
      <c r="B331" s="18" t="str">
        <f>'Cashflow Schedule'!E331</f>
        <v/>
      </c>
      <c r="C331" s="22" t="str">
        <f>IF(A331="","",Inputs!$C$6*EXP((Inputs!$C$8-Inputs!$C$7)*A331))</f>
        <v/>
      </c>
      <c r="D331" s="22" t="str">
        <f t="shared" si="1"/>
        <v/>
      </c>
      <c r="E331" s="21" t="str">
        <f>IF(A331="","",EXP(-Inputs!$C$8*A331))</f>
        <v/>
      </c>
      <c r="F331" s="22" t="str">
        <f t="shared" si="2"/>
        <v/>
      </c>
    </row>
    <row r="332">
      <c r="A332" s="18" t="str">
        <f>'Cashflow Schedule'!B332</f>
        <v/>
      </c>
      <c r="B332" s="18" t="str">
        <f>'Cashflow Schedule'!E332</f>
        <v/>
      </c>
      <c r="C332" s="22" t="str">
        <f>IF(A332="","",Inputs!$C$6*EXP((Inputs!$C$8-Inputs!$C$7)*A332))</f>
        <v/>
      </c>
      <c r="D332" s="22" t="str">
        <f t="shared" si="1"/>
        <v/>
      </c>
      <c r="E332" s="21" t="str">
        <f>IF(A332="","",EXP(-Inputs!$C$8*A332))</f>
        <v/>
      </c>
      <c r="F332" s="22" t="str">
        <f t="shared" si="2"/>
        <v/>
      </c>
    </row>
    <row r="333">
      <c r="A333" s="18" t="str">
        <f>'Cashflow Schedule'!B333</f>
        <v/>
      </c>
      <c r="B333" s="18" t="str">
        <f>'Cashflow Schedule'!E333</f>
        <v/>
      </c>
      <c r="C333" s="22" t="str">
        <f>IF(A333="","",Inputs!$C$6*EXP((Inputs!$C$8-Inputs!$C$7)*A333))</f>
        <v/>
      </c>
      <c r="D333" s="22" t="str">
        <f t="shared" si="1"/>
        <v/>
      </c>
      <c r="E333" s="21" t="str">
        <f>IF(A333="","",EXP(-Inputs!$C$8*A333))</f>
        <v/>
      </c>
      <c r="F333" s="22" t="str">
        <f t="shared" si="2"/>
        <v/>
      </c>
    </row>
    <row r="334">
      <c r="A334" s="18" t="str">
        <f>'Cashflow Schedule'!B334</f>
        <v/>
      </c>
      <c r="B334" s="18" t="str">
        <f>'Cashflow Schedule'!E334</f>
        <v/>
      </c>
      <c r="C334" s="22" t="str">
        <f>IF(A334="","",Inputs!$C$6*EXP((Inputs!$C$8-Inputs!$C$7)*A334))</f>
        <v/>
      </c>
      <c r="D334" s="22" t="str">
        <f t="shared" si="1"/>
        <v/>
      </c>
      <c r="E334" s="21" t="str">
        <f>IF(A334="","",EXP(-Inputs!$C$8*A334))</f>
        <v/>
      </c>
      <c r="F334" s="22" t="str">
        <f t="shared" si="2"/>
        <v/>
      </c>
    </row>
    <row r="335">
      <c r="A335" s="18" t="str">
        <f>'Cashflow Schedule'!B335</f>
        <v/>
      </c>
      <c r="B335" s="18" t="str">
        <f>'Cashflow Schedule'!E335</f>
        <v/>
      </c>
      <c r="C335" s="22" t="str">
        <f>IF(A335="","",Inputs!$C$6*EXP((Inputs!$C$8-Inputs!$C$7)*A335))</f>
        <v/>
      </c>
      <c r="D335" s="22" t="str">
        <f t="shared" si="1"/>
        <v/>
      </c>
      <c r="E335" s="21" t="str">
        <f>IF(A335="","",EXP(-Inputs!$C$8*A335))</f>
        <v/>
      </c>
      <c r="F335" s="22" t="str">
        <f t="shared" si="2"/>
        <v/>
      </c>
    </row>
    <row r="336">
      <c r="A336" s="18" t="str">
        <f>'Cashflow Schedule'!B336</f>
        <v/>
      </c>
      <c r="B336" s="18" t="str">
        <f>'Cashflow Schedule'!E336</f>
        <v/>
      </c>
      <c r="C336" s="22" t="str">
        <f>IF(A336="","",Inputs!$C$6*EXP((Inputs!$C$8-Inputs!$C$7)*A336))</f>
        <v/>
      </c>
      <c r="D336" s="22" t="str">
        <f t="shared" si="1"/>
        <v/>
      </c>
      <c r="E336" s="21" t="str">
        <f>IF(A336="","",EXP(-Inputs!$C$8*A336))</f>
        <v/>
      </c>
      <c r="F336" s="22" t="str">
        <f t="shared" si="2"/>
        <v/>
      </c>
    </row>
    <row r="337">
      <c r="A337" s="18" t="str">
        <f>'Cashflow Schedule'!B337</f>
        <v/>
      </c>
      <c r="B337" s="18" t="str">
        <f>'Cashflow Schedule'!E337</f>
        <v/>
      </c>
      <c r="C337" s="22" t="str">
        <f>IF(A337="","",Inputs!$C$6*EXP((Inputs!$C$8-Inputs!$C$7)*A337))</f>
        <v/>
      </c>
      <c r="D337" s="22" t="str">
        <f t="shared" si="1"/>
        <v/>
      </c>
      <c r="E337" s="21" t="str">
        <f>IF(A337="","",EXP(-Inputs!$C$8*A337))</f>
        <v/>
      </c>
      <c r="F337" s="22" t="str">
        <f t="shared" si="2"/>
        <v/>
      </c>
    </row>
    <row r="338">
      <c r="A338" s="18" t="str">
        <f>'Cashflow Schedule'!B338</f>
        <v/>
      </c>
      <c r="B338" s="18" t="str">
        <f>'Cashflow Schedule'!E338</f>
        <v/>
      </c>
      <c r="C338" s="22" t="str">
        <f>IF(A338="","",Inputs!$C$6*EXP((Inputs!$C$8-Inputs!$C$7)*A338))</f>
        <v/>
      </c>
      <c r="D338" s="22" t="str">
        <f t="shared" si="1"/>
        <v/>
      </c>
      <c r="E338" s="21" t="str">
        <f>IF(A338="","",EXP(-Inputs!$C$8*A338))</f>
        <v/>
      </c>
      <c r="F338" s="22" t="str">
        <f t="shared" si="2"/>
        <v/>
      </c>
    </row>
    <row r="339">
      <c r="A339" s="18" t="str">
        <f>'Cashflow Schedule'!B339</f>
        <v/>
      </c>
      <c r="B339" s="18" t="str">
        <f>'Cashflow Schedule'!E339</f>
        <v/>
      </c>
      <c r="C339" s="22" t="str">
        <f>IF(A339="","",Inputs!$C$6*EXP((Inputs!$C$8-Inputs!$C$7)*A339))</f>
        <v/>
      </c>
      <c r="D339" s="22" t="str">
        <f t="shared" si="1"/>
        <v/>
      </c>
      <c r="E339" s="21" t="str">
        <f>IF(A339="","",EXP(-Inputs!$C$8*A339))</f>
        <v/>
      </c>
      <c r="F339" s="22" t="str">
        <f t="shared" si="2"/>
        <v/>
      </c>
    </row>
    <row r="340">
      <c r="A340" s="18" t="str">
        <f>'Cashflow Schedule'!B340</f>
        <v/>
      </c>
      <c r="B340" s="18" t="str">
        <f>'Cashflow Schedule'!E340</f>
        <v/>
      </c>
      <c r="C340" s="22" t="str">
        <f>IF(A340="","",Inputs!$C$6*EXP((Inputs!$C$8-Inputs!$C$7)*A340))</f>
        <v/>
      </c>
      <c r="D340" s="22" t="str">
        <f t="shared" si="1"/>
        <v/>
      </c>
      <c r="E340" s="21" t="str">
        <f>IF(A340="","",EXP(-Inputs!$C$8*A340))</f>
        <v/>
      </c>
      <c r="F340" s="22" t="str">
        <f t="shared" si="2"/>
        <v/>
      </c>
    </row>
    <row r="341">
      <c r="A341" s="18" t="str">
        <f>'Cashflow Schedule'!B341</f>
        <v/>
      </c>
      <c r="B341" s="18" t="str">
        <f>'Cashflow Schedule'!E341</f>
        <v/>
      </c>
      <c r="C341" s="22" t="str">
        <f>IF(A341="","",Inputs!$C$6*EXP((Inputs!$C$8-Inputs!$C$7)*A341))</f>
        <v/>
      </c>
      <c r="D341" s="22" t="str">
        <f t="shared" si="1"/>
        <v/>
      </c>
      <c r="E341" s="21" t="str">
        <f>IF(A341="","",EXP(-Inputs!$C$8*A341))</f>
        <v/>
      </c>
      <c r="F341" s="22" t="str">
        <f t="shared" si="2"/>
        <v/>
      </c>
    </row>
    <row r="342">
      <c r="A342" s="18" t="str">
        <f>'Cashflow Schedule'!B342</f>
        <v/>
      </c>
      <c r="B342" s="18" t="str">
        <f>'Cashflow Schedule'!E342</f>
        <v/>
      </c>
      <c r="C342" s="22" t="str">
        <f>IF(A342="","",Inputs!$C$6*EXP((Inputs!$C$8-Inputs!$C$7)*A342))</f>
        <v/>
      </c>
      <c r="D342" s="22" t="str">
        <f t="shared" si="1"/>
        <v/>
      </c>
      <c r="E342" s="21" t="str">
        <f>IF(A342="","",EXP(-Inputs!$C$8*A342))</f>
        <v/>
      </c>
      <c r="F342" s="22" t="str">
        <f t="shared" si="2"/>
        <v/>
      </c>
    </row>
    <row r="343">
      <c r="A343" s="18" t="str">
        <f>'Cashflow Schedule'!B343</f>
        <v/>
      </c>
      <c r="B343" s="18" t="str">
        <f>'Cashflow Schedule'!E343</f>
        <v/>
      </c>
      <c r="C343" s="22" t="str">
        <f>IF(A343="","",Inputs!$C$6*EXP((Inputs!$C$8-Inputs!$C$7)*A343))</f>
        <v/>
      </c>
      <c r="D343" s="22" t="str">
        <f t="shared" si="1"/>
        <v/>
      </c>
      <c r="E343" s="21" t="str">
        <f>IF(A343="","",EXP(-Inputs!$C$8*A343))</f>
        <v/>
      </c>
      <c r="F343" s="22" t="str">
        <f t="shared" si="2"/>
        <v/>
      </c>
    </row>
    <row r="344">
      <c r="A344" s="18" t="str">
        <f>'Cashflow Schedule'!B344</f>
        <v/>
      </c>
      <c r="B344" s="18" t="str">
        <f>'Cashflow Schedule'!E344</f>
        <v/>
      </c>
      <c r="C344" s="22" t="str">
        <f>IF(A344="","",Inputs!$C$6*EXP((Inputs!$C$8-Inputs!$C$7)*A344))</f>
        <v/>
      </c>
      <c r="D344" s="22" t="str">
        <f t="shared" si="1"/>
        <v/>
      </c>
      <c r="E344" s="21" t="str">
        <f>IF(A344="","",EXP(-Inputs!$C$8*A344))</f>
        <v/>
      </c>
      <c r="F344" s="22" t="str">
        <f t="shared" si="2"/>
        <v/>
      </c>
    </row>
    <row r="345">
      <c r="A345" s="18" t="str">
        <f>'Cashflow Schedule'!B345</f>
        <v/>
      </c>
      <c r="B345" s="18" t="str">
        <f>'Cashflow Schedule'!E345</f>
        <v/>
      </c>
      <c r="C345" s="22" t="str">
        <f>IF(A345="","",Inputs!$C$6*EXP((Inputs!$C$8-Inputs!$C$7)*A345))</f>
        <v/>
      </c>
      <c r="D345" s="22" t="str">
        <f t="shared" si="1"/>
        <v/>
      </c>
      <c r="E345" s="21" t="str">
        <f>IF(A345="","",EXP(-Inputs!$C$8*A345))</f>
        <v/>
      </c>
      <c r="F345" s="22" t="str">
        <f t="shared" si="2"/>
        <v/>
      </c>
    </row>
    <row r="346">
      <c r="A346" s="18" t="str">
        <f>'Cashflow Schedule'!B346</f>
        <v/>
      </c>
      <c r="B346" s="18" t="str">
        <f>'Cashflow Schedule'!E346</f>
        <v/>
      </c>
      <c r="C346" s="22" t="str">
        <f>IF(A346="","",Inputs!$C$6*EXP((Inputs!$C$8-Inputs!$C$7)*A346))</f>
        <v/>
      </c>
      <c r="D346" s="22" t="str">
        <f t="shared" si="1"/>
        <v/>
      </c>
      <c r="E346" s="21" t="str">
        <f>IF(A346="","",EXP(-Inputs!$C$8*A346))</f>
        <v/>
      </c>
      <c r="F346" s="22" t="str">
        <f t="shared" si="2"/>
        <v/>
      </c>
    </row>
    <row r="347">
      <c r="A347" s="18" t="str">
        <f>'Cashflow Schedule'!B347</f>
        <v/>
      </c>
      <c r="B347" s="18" t="str">
        <f>'Cashflow Schedule'!E347</f>
        <v/>
      </c>
      <c r="C347" s="22" t="str">
        <f>IF(A347="","",Inputs!$C$6*EXP((Inputs!$C$8-Inputs!$C$7)*A347))</f>
        <v/>
      </c>
      <c r="D347" s="22" t="str">
        <f t="shared" si="1"/>
        <v/>
      </c>
      <c r="E347" s="21" t="str">
        <f>IF(A347="","",EXP(-Inputs!$C$8*A347))</f>
        <v/>
      </c>
      <c r="F347" s="22" t="str">
        <f t="shared" si="2"/>
        <v/>
      </c>
    </row>
    <row r="348">
      <c r="A348" s="18" t="str">
        <f>'Cashflow Schedule'!B348</f>
        <v/>
      </c>
      <c r="B348" s="18" t="str">
        <f>'Cashflow Schedule'!E348</f>
        <v/>
      </c>
      <c r="C348" s="22" t="str">
        <f>IF(A348="","",Inputs!$C$6*EXP((Inputs!$C$8-Inputs!$C$7)*A348))</f>
        <v/>
      </c>
      <c r="D348" s="22" t="str">
        <f t="shared" si="1"/>
        <v/>
      </c>
      <c r="E348" s="21" t="str">
        <f>IF(A348="","",EXP(-Inputs!$C$8*A348))</f>
        <v/>
      </c>
      <c r="F348" s="22" t="str">
        <f t="shared" si="2"/>
        <v/>
      </c>
    </row>
    <row r="349">
      <c r="A349" s="18" t="str">
        <f>'Cashflow Schedule'!B349</f>
        <v/>
      </c>
      <c r="B349" s="18" t="str">
        <f>'Cashflow Schedule'!E349</f>
        <v/>
      </c>
      <c r="C349" s="22" t="str">
        <f>IF(A349="","",Inputs!$C$6*EXP((Inputs!$C$8-Inputs!$C$7)*A349))</f>
        <v/>
      </c>
      <c r="D349" s="22" t="str">
        <f t="shared" si="1"/>
        <v/>
      </c>
      <c r="E349" s="21" t="str">
        <f>IF(A349="","",EXP(-Inputs!$C$8*A349))</f>
        <v/>
      </c>
      <c r="F349" s="22" t="str">
        <f t="shared" si="2"/>
        <v/>
      </c>
    </row>
    <row r="350">
      <c r="A350" s="18" t="str">
        <f>'Cashflow Schedule'!B350</f>
        <v/>
      </c>
      <c r="B350" s="18" t="str">
        <f>'Cashflow Schedule'!E350</f>
        <v/>
      </c>
      <c r="C350" s="22" t="str">
        <f>IF(A350="","",Inputs!$C$6*EXP((Inputs!$C$8-Inputs!$C$7)*A350))</f>
        <v/>
      </c>
      <c r="D350" s="22" t="str">
        <f t="shared" si="1"/>
        <v/>
      </c>
      <c r="E350" s="21" t="str">
        <f>IF(A350="","",EXP(-Inputs!$C$8*A350))</f>
        <v/>
      </c>
      <c r="F350" s="22" t="str">
        <f t="shared" si="2"/>
        <v/>
      </c>
    </row>
    <row r="351">
      <c r="A351" s="18" t="str">
        <f>'Cashflow Schedule'!B351</f>
        <v/>
      </c>
      <c r="B351" s="18" t="str">
        <f>'Cashflow Schedule'!E351</f>
        <v/>
      </c>
      <c r="C351" s="22" t="str">
        <f>IF(A351="","",Inputs!$C$6*EXP((Inputs!$C$8-Inputs!$C$7)*A351))</f>
        <v/>
      </c>
      <c r="D351" s="22" t="str">
        <f t="shared" si="1"/>
        <v/>
      </c>
      <c r="E351" s="21" t="str">
        <f>IF(A351="","",EXP(-Inputs!$C$8*A351))</f>
        <v/>
      </c>
      <c r="F351" s="22" t="str">
        <f t="shared" si="2"/>
        <v/>
      </c>
    </row>
    <row r="352">
      <c r="A352" s="18" t="str">
        <f>'Cashflow Schedule'!B352</f>
        <v/>
      </c>
      <c r="B352" s="18" t="str">
        <f>'Cashflow Schedule'!E352</f>
        <v/>
      </c>
      <c r="C352" s="22" t="str">
        <f>IF(A352="","",Inputs!$C$6*EXP((Inputs!$C$8-Inputs!$C$7)*A352))</f>
        <v/>
      </c>
      <c r="D352" s="22" t="str">
        <f t="shared" si="1"/>
        <v/>
      </c>
      <c r="E352" s="21" t="str">
        <f>IF(A352="","",EXP(-Inputs!$C$8*A352))</f>
        <v/>
      </c>
      <c r="F352" s="22" t="str">
        <f t="shared" si="2"/>
        <v/>
      </c>
    </row>
    <row r="353">
      <c r="A353" s="18" t="str">
        <f>'Cashflow Schedule'!B353</f>
        <v/>
      </c>
      <c r="B353" s="18" t="str">
        <f>'Cashflow Schedule'!E353</f>
        <v/>
      </c>
      <c r="C353" s="22" t="str">
        <f>IF(A353="","",Inputs!$C$6*EXP((Inputs!$C$8-Inputs!$C$7)*A353))</f>
        <v/>
      </c>
      <c r="D353" s="22" t="str">
        <f t="shared" si="1"/>
        <v/>
      </c>
      <c r="E353" s="21" t="str">
        <f>IF(A353="","",EXP(-Inputs!$C$8*A353))</f>
        <v/>
      </c>
      <c r="F353" s="22" t="str">
        <f t="shared" si="2"/>
        <v/>
      </c>
    </row>
    <row r="354">
      <c r="A354" s="18" t="str">
        <f>'Cashflow Schedule'!B354</f>
        <v/>
      </c>
      <c r="B354" s="18" t="str">
        <f>'Cashflow Schedule'!E354</f>
        <v/>
      </c>
      <c r="C354" s="22" t="str">
        <f>IF(A354="","",Inputs!$C$6*EXP((Inputs!$C$8-Inputs!$C$7)*A354))</f>
        <v/>
      </c>
      <c r="D354" s="22" t="str">
        <f t="shared" si="1"/>
        <v/>
      </c>
      <c r="E354" s="21" t="str">
        <f>IF(A354="","",EXP(-Inputs!$C$8*A354))</f>
        <v/>
      </c>
      <c r="F354" s="22" t="str">
        <f t="shared" si="2"/>
        <v/>
      </c>
    </row>
    <row r="355">
      <c r="A355" s="18" t="str">
        <f>'Cashflow Schedule'!B355</f>
        <v/>
      </c>
      <c r="B355" s="18" t="str">
        <f>'Cashflow Schedule'!E355</f>
        <v/>
      </c>
      <c r="C355" s="22" t="str">
        <f>IF(A355="","",Inputs!$C$6*EXP((Inputs!$C$8-Inputs!$C$7)*A355))</f>
        <v/>
      </c>
      <c r="D355" s="22" t="str">
        <f t="shared" si="1"/>
        <v/>
      </c>
      <c r="E355" s="21" t="str">
        <f>IF(A355="","",EXP(-Inputs!$C$8*A355))</f>
        <v/>
      </c>
      <c r="F355" s="22" t="str">
        <f t="shared" si="2"/>
        <v/>
      </c>
    </row>
    <row r="356">
      <c r="A356" s="18" t="str">
        <f>'Cashflow Schedule'!B356</f>
        <v/>
      </c>
      <c r="B356" s="18" t="str">
        <f>'Cashflow Schedule'!E356</f>
        <v/>
      </c>
      <c r="C356" s="22" t="str">
        <f>IF(A356="","",Inputs!$C$6*EXP((Inputs!$C$8-Inputs!$C$7)*A356))</f>
        <v/>
      </c>
      <c r="D356" s="22" t="str">
        <f t="shared" si="1"/>
        <v/>
      </c>
      <c r="E356" s="21" t="str">
        <f>IF(A356="","",EXP(-Inputs!$C$8*A356))</f>
        <v/>
      </c>
      <c r="F356" s="22" t="str">
        <f t="shared" si="2"/>
        <v/>
      </c>
    </row>
    <row r="357">
      <c r="A357" s="18" t="str">
        <f>'Cashflow Schedule'!B357</f>
        <v/>
      </c>
      <c r="B357" s="18" t="str">
        <f>'Cashflow Schedule'!E357</f>
        <v/>
      </c>
      <c r="C357" s="22" t="str">
        <f>IF(A357="","",Inputs!$C$6*EXP((Inputs!$C$8-Inputs!$C$7)*A357))</f>
        <v/>
      </c>
      <c r="D357" s="22" t="str">
        <f t="shared" si="1"/>
        <v/>
      </c>
      <c r="E357" s="21" t="str">
        <f>IF(A357="","",EXP(-Inputs!$C$8*A357))</f>
        <v/>
      </c>
      <c r="F357" s="22" t="str">
        <f t="shared" si="2"/>
        <v/>
      </c>
    </row>
    <row r="358">
      <c r="A358" s="18" t="str">
        <f>'Cashflow Schedule'!B358</f>
        <v/>
      </c>
      <c r="B358" s="18" t="str">
        <f>'Cashflow Schedule'!E358</f>
        <v/>
      </c>
      <c r="C358" s="22" t="str">
        <f>IF(A358="","",Inputs!$C$6*EXP((Inputs!$C$8-Inputs!$C$7)*A358))</f>
        <v/>
      </c>
      <c r="D358" s="22" t="str">
        <f t="shared" si="1"/>
        <v/>
      </c>
      <c r="E358" s="21" t="str">
        <f>IF(A358="","",EXP(-Inputs!$C$8*A358))</f>
        <v/>
      </c>
      <c r="F358" s="22" t="str">
        <f t="shared" si="2"/>
        <v/>
      </c>
    </row>
    <row r="359">
      <c r="A359" s="18" t="str">
        <f>'Cashflow Schedule'!B359</f>
        <v/>
      </c>
      <c r="B359" s="18" t="str">
        <f>'Cashflow Schedule'!E359</f>
        <v/>
      </c>
      <c r="C359" s="22" t="str">
        <f>IF(A359="","",Inputs!$C$6*EXP((Inputs!$C$8-Inputs!$C$7)*A359))</f>
        <v/>
      </c>
      <c r="D359" s="22" t="str">
        <f t="shared" si="1"/>
        <v/>
      </c>
      <c r="E359" s="21" t="str">
        <f>IF(A359="","",EXP(-Inputs!$C$8*A359))</f>
        <v/>
      </c>
      <c r="F359" s="22" t="str">
        <f t="shared" si="2"/>
        <v/>
      </c>
    </row>
    <row r="360">
      <c r="A360" s="18" t="str">
        <f>'Cashflow Schedule'!B360</f>
        <v/>
      </c>
      <c r="B360" s="18" t="str">
        <f>'Cashflow Schedule'!E360</f>
        <v/>
      </c>
      <c r="C360" s="22" t="str">
        <f>IF(A360="","",Inputs!$C$6*EXP((Inputs!$C$8-Inputs!$C$7)*A360))</f>
        <v/>
      </c>
      <c r="D360" s="22" t="str">
        <f t="shared" si="1"/>
        <v/>
      </c>
      <c r="E360" s="21" t="str">
        <f>IF(A360="","",EXP(-Inputs!$C$8*A360))</f>
        <v/>
      </c>
      <c r="F360" s="22" t="str">
        <f t="shared" si="2"/>
        <v/>
      </c>
    </row>
    <row r="361">
      <c r="A361" s="18" t="str">
        <f>'Cashflow Schedule'!B361</f>
        <v/>
      </c>
      <c r="B361" s="18" t="str">
        <f>'Cashflow Schedule'!E361</f>
        <v/>
      </c>
      <c r="C361" s="22" t="str">
        <f>IF(A361="","",Inputs!$C$6*EXP((Inputs!$C$8-Inputs!$C$7)*A361))</f>
        <v/>
      </c>
      <c r="D361" s="22" t="str">
        <f t="shared" si="1"/>
        <v/>
      </c>
      <c r="E361" s="21" t="str">
        <f>IF(A361="","",EXP(-Inputs!$C$8*A361))</f>
        <v/>
      </c>
      <c r="F361" s="22" t="str">
        <f t="shared" si="2"/>
        <v/>
      </c>
    </row>
    <row r="362">
      <c r="A362" s="18" t="str">
        <f>'Cashflow Schedule'!B362</f>
        <v/>
      </c>
      <c r="B362" s="18" t="str">
        <f>'Cashflow Schedule'!E362</f>
        <v/>
      </c>
      <c r="C362" s="22" t="str">
        <f>IF(A362="","",Inputs!$C$6*EXP((Inputs!$C$8-Inputs!$C$7)*A362))</f>
        <v/>
      </c>
      <c r="D362" s="22" t="str">
        <f t="shared" si="1"/>
        <v/>
      </c>
      <c r="E362" s="21" t="str">
        <f>IF(A362="","",EXP(-Inputs!$C$8*A362))</f>
        <v/>
      </c>
      <c r="F362" s="22" t="str">
        <f t="shared" si="2"/>
        <v/>
      </c>
    </row>
    <row r="363">
      <c r="A363" s="18" t="str">
        <f>'Cashflow Schedule'!B363</f>
        <v/>
      </c>
      <c r="B363" s="18" t="str">
        <f>'Cashflow Schedule'!E363</f>
        <v/>
      </c>
      <c r="C363" s="22" t="str">
        <f>IF(A363="","",Inputs!$C$6*EXP((Inputs!$C$8-Inputs!$C$7)*A363))</f>
        <v/>
      </c>
      <c r="D363" s="22" t="str">
        <f t="shared" si="1"/>
        <v/>
      </c>
      <c r="E363" s="21" t="str">
        <f>IF(A363="","",EXP(-Inputs!$C$8*A363))</f>
        <v/>
      </c>
      <c r="F363" s="22" t="str">
        <f t="shared" si="2"/>
        <v/>
      </c>
    </row>
    <row r="364">
      <c r="A364" s="18" t="str">
        <f>'Cashflow Schedule'!B364</f>
        <v/>
      </c>
      <c r="B364" s="18" t="str">
        <f>'Cashflow Schedule'!E364</f>
        <v/>
      </c>
      <c r="C364" s="22" t="str">
        <f>IF(A364="","",Inputs!$C$6*EXP((Inputs!$C$8-Inputs!$C$7)*A364))</f>
        <v/>
      </c>
      <c r="D364" s="22" t="str">
        <f t="shared" si="1"/>
        <v/>
      </c>
      <c r="E364" s="21" t="str">
        <f>IF(A364="","",EXP(-Inputs!$C$8*A364))</f>
        <v/>
      </c>
      <c r="F364" s="22" t="str">
        <f t="shared" si="2"/>
        <v/>
      </c>
    </row>
    <row r="365">
      <c r="A365" s="18" t="str">
        <f>'Cashflow Schedule'!B365</f>
        <v/>
      </c>
      <c r="B365" s="18" t="str">
        <f>'Cashflow Schedule'!E365</f>
        <v/>
      </c>
      <c r="C365" s="22" t="str">
        <f>IF(A365="","",Inputs!$C$6*EXP((Inputs!$C$8-Inputs!$C$7)*A365))</f>
        <v/>
      </c>
      <c r="D365" s="22" t="str">
        <f t="shared" si="1"/>
        <v/>
      </c>
      <c r="E365" s="21" t="str">
        <f>IF(A365="","",EXP(-Inputs!$C$8*A365))</f>
        <v/>
      </c>
      <c r="F365" s="22" t="str">
        <f t="shared" si="2"/>
        <v/>
      </c>
    </row>
    <row r="366">
      <c r="A366" s="18" t="str">
        <f>'Cashflow Schedule'!B366</f>
        <v/>
      </c>
      <c r="B366" s="18" t="str">
        <f>'Cashflow Schedule'!E366</f>
        <v/>
      </c>
      <c r="C366" s="22" t="str">
        <f>IF(A366="","",Inputs!$C$6*EXP((Inputs!$C$8-Inputs!$C$7)*A366))</f>
        <v/>
      </c>
      <c r="D366" s="22" t="str">
        <f t="shared" si="1"/>
        <v/>
      </c>
      <c r="E366" s="21" t="str">
        <f>IF(A366="","",EXP(-Inputs!$C$8*A366))</f>
        <v/>
      </c>
      <c r="F366" s="22" t="str">
        <f t="shared" si="2"/>
        <v/>
      </c>
    </row>
    <row r="367">
      <c r="A367" s="18" t="str">
        <f>'Cashflow Schedule'!B367</f>
        <v/>
      </c>
      <c r="B367" s="18" t="str">
        <f>'Cashflow Schedule'!E367</f>
        <v/>
      </c>
      <c r="C367" s="22" t="str">
        <f>IF(A367="","",Inputs!$C$6*EXP((Inputs!$C$8-Inputs!$C$7)*A367))</f>
        <v/>
      </c>
      <c r="D367" s="22" t="str">
        <f t="shared" si="1"/>
        <v/>
      </c>
      <c r="E367" s="21" t="str">
        <f>IF(A367="","",EXP(-Inputs!$C$8*A367))</f>
        <v/>
      </c>
      <c r="F367" s="22" t="str">
        <f t="shared" si="2"/>
        <v/>
      </c>
    </row>
    <row r="368">
      <c r="A368" s="18" t="str">
        <f>'Cashflow Schedule'!B368</f>
        <v/>
      </c>
      <c r="B368" s="18" t="str">
        <f>'Cashflow Schedule'!E368</f>
        <v/>
      </c>
      <c r="C368" s="22" t="str">
        <f>IF(A368="","",Inputs!$C$6*EXP((Inputs!$C$8-Inputs!$C$7)*A368))</f>
        <v/>
      </c>
      <c r="D368" s="22" t="str">
        <f t="shared" si="1"/>
        <v/>
      </c>
      <c r="E368" s="21" t="str">
        <f>IF(A368="","",EXP(-Inputs!$C$8*A368))</f>
        <v/>
      </c>
      <c r="F368" s="22" t="str">
        <f t="shared" si="2"/>
        <v/>
      </c>
    </row>
    <row r="369">
      <c r="A369" s="18" t="str">
        <f>'Cashflow Schedule'!B369</f>
        <v/>
      </c>
      <c r="B369" s="18" t="str">
        <f>'Cashflow Schedule'!E369</f>
        <v/>
      </c>
      <c r="C369" s="22" t="str">
        <f>IF(A369="","",Inputs!$C$6*EXP((Inputs!$C$8-Inputs!$C$7)*A369))</f>
        <v/>
      </c>
      <c r="D369" s="22" t="str">
        <f t="shared" si="1"/>
        <v/>
      </c>
      <c r="E369" s="21" t="str">
        <f>IF(A369="","",EXP(-Inputs!$C$8*A369))</f>
        <v/>
      </c>
      <c r="F369" s="22" t="str">
        <f t="shared" si="2"/>
        <v/>
      </c>
    </row>
    <row r="370">
      <c r="A370" s="18" t="str">
        <f>'Cashflow Schedule'!B370</f>
        <v/>
      </c>
      <c r="B370" s="18" t="str">
        <f>'Cashflow Schedule'!E370</f>
        <v/>
      </c>
      <c r="C370" s="22" t="str">
        <f>IF(A370="","",Inputs!$C$6*EXP((Inputs!$C$8-Inputs!$C$7)*A370))</f>
        <v/>
      </c>
      <c r="D370" s="22" t="str">
        <f t="shared" si="1"/>
        <v/>
      </c>
      <c r="E370" s="21" t="str">
        <f>IF(A370="","",EXP(-Inputs!$C$8*A370))</f>
        <v/>
      </c>
      <c r="F370" s="22" t="str">
        <f t="shared" si="2"/>
        <v/>
      </c>
    </row>
    <row r="371">
      <c r="A371" s="18" t="str">
        <f>'Cashflow Schedule'!B371</f>
        <v/>
      </c>
      <c r="B371" s="18" t="str">
        <f>'Cashflow Schedule'!E371</f>
        <v/>
      </c>
      <c r="C371" s="22" t="str">
        <f>IF(A371="","",Inputs!$C$6*EXP((Inputs!$C$8-Inputs!$C$7)*A371))</f>
        <v/>
      </c>
      <c r="D371" s="22" t="str">
        <f t="shared" si="1"/>
        <v/>
      </c>
      <c r="E371" s="21" t="str">
        <f>IF(A371="","",EXP(-Inputs!$C$8*A371))</f>
        <v/>
      </c>
      <c r="F371" s="22" t="str">
        <f t="shared" si="2"/>
        <v/>
      </c>
    </row>
    <row r="372">
      <c r="A372" s="18" t="str">
        <f>'Cashflow Schedule'!B372</f>
        <v/>
      </c>
      <c r="B372" s="18" t="str">
        <f>'Cashflow Schedule'!E372</f>
        <v/>
      </c>
      <c r="C372" s="22" t="str">
        <f>IF(A372="","",Inputs!$C$6*EXP((Inputs!$C$8-Inputs!$C$7)*A372))</f>
        <v/>
      </c>
      <c r="D372" s="22" t="str">
        <f t="shared" si="1"/>
        <v/>
      </c>
      <c r="E372" s="21" t="str">
        <f>IF(A372="","",EXP(-Inputs!$C$8*A372))</f>
        <v/>
      </c>
      <c r="F372" s="22" t="str">
        <f t="shared" si="2"/>
        <v/>
      </c>
    </row>
    <row r="373">
      <c r="A373" s="18" t="str">
        <f>'Cashflow Schedule'!B373</f>
        <v/>
      </c>
      <c r="B373" s="18" t="str">
        <f>'Cashflow Schedule'!E373</f>
        <v/>
      </c>
      <c r="C373" s="22" t="str">
        <f>IF(A373="","",Inputs!$C$6*EXP((Inputs!$C$8-Inputs!$C$7)*A373))</f>
        <v/>
      </c>
      <c r="D373" s="22" t="str">
        <f t="shared" si="1"/>
        <v/>
      </c>
      <c r="E373" s="21" t="str">
        <f>IF(A373="","",EXP(-Inputs!$C$8*A373))</f>
        <v/>
      </c>
      <c r="F373" s="22" t="str">
        <f t="shared" si="2"/>
        <v/>
      </c>
    </row>
    <row r="374">
      <c r="A374" s="18" t="str">
        <f>'Cashflow Schedule'!B374</f>
        <v/>
      </c>
      <c r="B374" s="18" t="str">
        <f>'Cashflow Schedule'!E374</f>
        <v/>
      </c>
      <c r="C374" s="22" t="str">
        <f>IF(A374="","",Inputs!$C$6*EXP((Inputs!$C$8-Inputs!$C$7)*A374))</f>
        <v/>
      </c>
      <c r="D374" s="22" t="str">
        <f t="shared" si="1"/>
        <v/>
      </c>
      <c r="E374" s="21" t="str">
        <f>IF(A374="","",EXP(-Inputs!$C$8*A374))</f>
        <v/>
      </c>
      <c r="F374" s="22" t="str">
        <f t="shared" si="2"/>
        <v/>
      </c>
    </row>
    <row r="375">
      <c r="A375" s="18" t="str">
        <f>'Cashflow Schedule'!B375</f>
        <v/>
      </c>
      <c r="B375" s="18" t="str">
        <f>'Cashflow Schedule'!E375</f>
        <v/>
      </c>
      <c r="C375" s="22" t="str">
        <f>IF(A375="","",Inputs!$C$6*EXP((Inputs!$C$8-Inputs!$C$7)*A375))</f>
        <v/>
      </c>
      <c r="D375" s="22" t="str">
        <f t="shared" si="1"/>
        <v/>
      </c>
      <c r="E375" s="21" t="str">
        <f>IF(A375="","",EXP(-Inputs!$C$8*A375))</f>
        <v/>
      </c>
      <c r="F375" s="22" t="str">
        <f t="shared" si="2"/>
        <v/>
      </c>
    </row>
    <row r="376">
      <c r="A376" s="18" t="str">
        <f>'Cashflow Schedule'!B376</f>
        <v/>
      </c>
      <c r="B376" s="18" t="str">
        <f>'Cashflow Schedule'!E376</f>
        <v/>
      </c>
      <c r="C376" s="22" t="str">
        <f>IF(A376="","",Inputs!$C$6*EXP((Inputs!$C$8-Inputs!$C$7)*A376))</f>
        <v/>
      </c>
      <c r="D376" s="22" t="str">
        <f t="shared" si="1"/>
        <v/>
      </c>
      <c r="E376" s="21" t="str">
        <f>IF(A376="","",EXP(-Inputs!$C$8*A376))</f>
        <v/>
      </c>
      <c r="F376" s="22" t="str">
        <f t="shared" si="2"/>
        <v/>
      </c>
    </row>
    <row r="377">
      <c r="A377" s="18" t="str">
        <f>'Cashflow Schedule'!B377</f>
        <v/>
      </c>
      <c r="B377" s="18" t="str">
        <f>'Cashflow Schedule'!E377</f>
        <v/>
      </c>
      <c r="C377" s="22" t="str">
        <f>IF(A377="","",Inputs!$C$6*EXP((Inputs!$C$8-Inputs!$C$7)*A377))</f>
        <v/>
      </c>
      <c r="D377" s="22" t="str">
        <f t="shared" si="1"/>
        <v/>
      </c>
      <c r="E377" s="21" t="str">
        <f>IF(A377="","",EXP(-Inputs!$C$8*A377))</f>
        <v/>
      </c>
      <c r="F377" s="22" t="str">
        <f t="shared" si="2"/>
        <v/>
      </c>
    </row>
    <row r="378">
      <c r="A378" s="18" t="str">
        <f>'Cashflow Schedule'!B378</f>
        <v/>
      </c>
      <c r="B378" s="18" t="str">
        <f>'Cashflow Schedule'!E378</f>
        <v/>
      </c>
      <c r="C378" s="22" t="str">
        <f>IF(A378="","",Inputs!$C$6*EXP((Inputs!$C$8-Inputs!$C$7)*A378))</f>
        <v/>
      </c>
      <c r="D378" s="22" t="str">
        <f t="shared" si="1"/>
        <v/>
      </c>
      <c r="E378" s="21" t="str">
        <f>IF(A378="","",EXP(-Inputs!$C$8*A378))</f>
        <v/>
      </c>
      <c r="F378" s="22" t="str">
        <f t="shared" si="2"/>
        <v/>
      </c>
    </row>
    <row r="379">
      <c r="A379" s="18" t="str">
        <f>'Cashflow Schedule'!B379</f>
        <v/>
      </c>
      <c r="B379" s="18" t="str">
        <f>'Cashflow Schedule'!E379</f>
        <v/>
      </c>
      <c r="C379" s="22" t="str">
        <f>IF(A379="","",Inputs!$C$6*EXP((Inputs!$C$8-Inputs!$C$7)*A379))</f>
        <v/>
      </c>
      <c r="D379" s="22" t="str">
        <f t="shared" si="1"/>
        <v/>
      </c>
      <c r="E379" s="21" t="str">
        <f>IF(A379="","",EXP(-Inputs!$C$8*A379))</f>
        <v/>
      </c>
      <c r="F379" s="22" t="str">
        <f t="shared" si="2"/>
        <v/>
      </c>
    </row>
    <row r="380">
      <c r="A380" s="18" t="str">
        <f>'Cashflow Schedule'!B380</f>
        <v/>
      </c>
      <c r="B380" s="18" t="str">
        <f>'Cashflow Schedule'!E380</f>
        <v/>
      </c>
      <c r="C380" s="22" t="str">
        <f>IF(A380="","",Inputs!$C$6*EXP((Inputs!$C$8-Inputs!$C$7)*A380))</f>
        <v/>
      </c>
      <c r="D380" s="22" t="str">
        <f t="shared" si="1"/>
        <v/>
      </c>
      <c r="E380" s="21" t="str">
        <f>IF(A380="","",EXP(-Inputs!$C$8*A380))</f>
        <v/>
      </c>
      <c r="F380" s="22" t="str">
        <f t="shared" si="2"/>
        <v/>
      </c>
    </row>
    <row r="381">
      <c r="A381" s="18" t="str">
        <f>'Cashflow Schedule'!B381</f>
        <v/>
      </c>
      <c r="B381" s="18" t="str">
        <f>'Cashflow Schedule'!E381</f>
        <v/>
      </c>
      <c r="C381" s="22" t="str">
        <f>IF(A381="","",Inputs!$C$6*EXP((Inputs!$C$8-Inputs!$C$7)*A381))</f>
        <v/>
      </c>
      <c r="D381" s="22" t="str">
        <f t="shared" si="1"/>
        <v/>
      </c>
      <c r="E381" s="21" t="str">
        <f>IF(A381="","",EXP(-Inputs!$C$8*A381))</f>
        <v/>
      </c>
      <c r="F381" s="22" t="str">
        <f t="shared" si="2"/>
        <v/>
      </c>
    </row>
    <row r="382">
      <c r="A382" s="18" t="str">
        <f>'Cashflow Schedule'!B382</f>
        <v/>
      </c>
      <c r="B382" s="18" t="str">
        <f>'Cashflow Schedule'!E382</f>
        <v/>
      </c>
      <c r="C382" s="22" t="str">
        <f>IF(A382="","",Inputs!$C$6*EXP((Inputs!$C$8-Inputs!$C$7)*A382))</f>
        <v/>
      </c>
      <c r="D382" s="22" t="str">
        <f t="shared" si="1"/>
        <v/>
      </c>
      <c r="E382" s="21" t="str">
        <f>IF(A382="","",EXP(-Inputs!$C$8*A382))</f>
        <v/>
      </c>
      <c r="F382" s="22" t="str">
        <f t="shared" si="2"/>
        <v/>
      </c>
    </row>
    <row r="383">
      <c r="A383" s="18" t="str">
        <f>'Cashflow Schedule'!B383</f>
        <v/>
      </c>
      <c r="B383" s="18" t="str">
        <f>'Cashflow Schedule'!E383</f>
        <v/>
      </c>
      <c r="C383" s="22" t="str">
        <f>IF(A383="","",Inputs!$C$6*EXP((Inputs!$C$8-Inputs!$C$7)*A383))</f>
        <v/>
      </c>
      <c r="D383" s="22" t="str">
        <f t="shared" si="1"/>
        <v/>
      </c>
      <c r="E383" s="21" t="str">
        <f>IF(A383="","",EXP(-Inputs!$C$8*A383))</f>
        <v/>
      </c>
      <c r="F383" s="22" t="str">
        <f t="shared" si="2"/>
        <v/>
      </c>
    </row>
    <row r="384">
      <c r="A384" s="18" t="str">
        <f>'Cashflow Schedule'!B384</f>
        <v/>
      </c>
      <c r="B384" s="18" t="str">
        <f>'Cashflow Schedule'!E384</f>
        <v/>
      </c>
      <c r="C384" s="22" t="str">
        <f>IF(A384="","",Inputs!$C$6*EXP((Inputs!$C$8-Inputs!$C$7)*A384))</f>
        <v/>
      </c>
      <c r="D384" s="22" t="str">
        <f t="shared" si="1"/>
        <v/>
      </c>
      <c r="E384" s="21" t="str">
        <f>IF(A384="","",EXP(-Inputs!$C$8*A384))</f>
        <v/>
      </c>
      <c r="F384" s="22" t="str">
        <f t="shared" si="2"/>
        <v/>
      </c>
    </row>
    <row r="385">
      <c r="A385" s="18" t="str">
        <f>'Cashflow Schedule'!B385</f>
        <v/>
      </c>
      <c r="B385" s="18" t="str">
        <f>'Cashflow Schedule'!E385</f>
        <v/>
      </c>
      <c r="C385" s="22" t="str">
        <f>IF(A385="","",Inputs!$C$6*EXP((Inputs!$C$8-Inputs!$C$7)*A385))</f>
        <v/>
      </c>
      <c r="D385" s="22" t="str">
        <f t="shared" si="1"/>
        <v/>
      </c>
      <c r="E385" s="21" t="str">
        <f>IF(A385="","",EXP(-Inputs!$C$8*A385))</f>
        <v/>
      </c>
      <c r="F385" s="22" t="str">
        <f t="shared" si="2"/>
        <v/>
      </c>
    </row>
    <row r="386">
      <c r="A386" s="18" t="str">
        <f>'Cashflow Schedule'!B386</f>
        <v/>
      </c>
      <c r="B386" s="18" t="str">
        <f>'Cashflow Schedule'!E386</f>
        <v/>
      </c>
      <c r="C386" s="22" t="str">
        <f>IF(A386="","",Inputs!$C$6*EXP((Inputs!$C$8-Inputs!$C$7)*A386))</f>
        <v/>
      </c>
      <c r="D386" s="22" t="str">
        <f t="shared" si="1"/>
        <v/>
      </c>
      <c r="E386" s="21" t="str">
        <f>IF(A386="","",EXP(-Inputs!$C$8*A386))</f>
        <v/>
      </c>
      <c r="F386" s="22" t="str">
        <f t="shared" si="2"/>
        <v/>
      </c>
    </row>
    <row r="387">
      <c r="A387" s="18" t="str">
        <f>'Cashflow Schedule'!B387</f>
        <v/>
      </c>
      <c r="B387" s="18" t="str">
        <f>'Cashflow Schedule'!E387</f>
        <v/>
      </c>
      <c r="C387" s="22" t="str">
        <f>IF(A387="","",Inputs!$C$6*EXP((Inputs!$C$8-Inputs!$C$7)*A387))</f>
        <v/>
      </c>
      <c r="D387" s="22" t="str">
        <f t="shared" si="1"/>
        <v/>
      </c>
      <c r="E387" s="21" t="str">
        <f>IF(A387="","",EXP(-Inputs!$C$8*A387))</f>
        <v/>
      </c>
      <c r="F387" s="22" t="str">
        <f t="shared" si="2"/>
        <v/>
      </c>
    </row>
    <row r="388">
      <c r="A388" s="18" t="str">
        <f>'Cashflow Schedule'!B388</f>
        <v/>
      </c>
      <c r="B388" s="18" t="str">
        <f>'Cashflow Schedule'!E388</f>
        <v/>
      </c>
      <c r="C388" s="22" t="str">
        <f>IF(A388="","",Inputs!$C$6*EXP((Inputs!$C$8-Inputs!$C$7)*A388))</f>
        <v/>
      </c>
      <c r="D388" s="22" t="str">
        <f t="shared" si="1"/>
        <v/>
      </c>
      <c r="E388" s="21" t="str">
        <f>IF(A388="","",EXP(-Inputs!$C$8*A388))</f>
        <v/>
      </c>
      <c r="F388" s="22" t="str">
        <f t="shared" si="2"/>
        <v/>
      </c>
    </row>
    <row r="389">
      <c r="A389" s="18" t="str">
        <f>'Cashflow Schedule'!B389</f>
        <v/>
      </c>
      <c r="B389" s="18" t="str">
        <f>'Cashflow Schedule'!E389</f>
        <v/>
      </c>
      <c r="C389" s="22" t="str">
        <f>IF(A389="","",Inputs!$C$6*EXP((Inputs!$C$8-Inputs!$C$7)*A389))</f>
        <v/>
      </c>
      <c r="D389" s="22" t="str">
        <f t="shared" si="1"/>
        <v/>
      </c>
      <c r="E389" s="21" t="str">
        <f>IF(A389="","",EXP(-Inputs!$C$8*A389))</f>
        <v/>
      </c>
      <c r="F389" s="22" t="str">
        <f t="shared" si="2"/>
        <v/>
      </c>
    </row>
    <row r="390">
      <c r="A390" s="18" t="str">
        <f>'Cashflow Schedule'!B390</f>
        <v/>
      </c>
      <c r="B390" s="18" t="str">
        <f>'Cashflow Schedule'!E390</f>
        <v/>
      </c>
      <c r="C390" s="22" t="str">
        <f>IF(A390="","",Inputs!$C$6*EXP((Inputs!$C$8-Inputs!$C$7)*A390))</f>
        <v/>
      </c>
      <c r="D390" s="22" t="str">
        <f t="shared" si="1"/>
        <v/>
      </c>
      <c r="E390" s="21" t="str">
        <f>IF(A390="","",EXP(-Inputs!$C$8*A390))</f>
        <v/>
      </c>
      <c r="F390" s="22" t="str">
        <f t="shared" si="2"/>
        <v/>
      </c>
    </row>
    <row r="391">
      <c r="A391" s="18" t="str">
        <f>'Cashflow Schedule'!B391</f>
        <v/>
      </c>
      <c r="B391" s="18" t="str">
        <f>'Cashflow Schedule'!E391</f>
        <v/>
      </c>
      <c r="C391" s="22" t="str">
        <f>IF(A391="","",Inputs!$C$6*EXP((Inputs!$C$8-Inputs!$C$7)*A391))</f>
        <v/>
      </c>
      <c r="D391" s="22" t="str">
        <f t="shared" si="1"/>
        <v/>
      </c>
      <c r="E391" s="21" t="str">
        <f>IF(A391="","",EXP(-Inputs!$C$8*A391))</f>
        <v/>
      </c>
      <c r="F391" s="22" t="str">
        <f t="shared" si="2"/>
        <v/>
      </c>
    </row>
    <row r="392">
      <c r="A392" s="18" t="str">
        <f>'Cashflow Schedule'!B392</f>
        <v/>
      </c>
      <c r="B392" s="18" t="str">
        <f>'Cashflow Schedule'!E392</f>
        <v/>
      </c>
      <c r="C392" s="22" t="str">
        <f>IF(A392="","",Inputs!$C$6*EXP((Inputs!$C$8-Inputs!$C$7)*A392))</f>
        <v/>
      </c>
      <c r="D392" s="22" t="str">
        <f t="shared" si="1"/>
        <v/>
      </c>
      <c r="E392" s="21" t="str">
        <f>IF(A392="","",EXP(-Inputs!$C$8*A392))</f>
        <v/>
      </c>
      <c r="F392" s="22" t="str">
        <f t="shared" si="2"/>
        <v/>
      </c>
    </row>
    <row r="393">
      <c r="A393" s="18" t="str">
        <f>'Cashflow Schedule'!B393</f>
        <v/>
      </c>
      <c r="B393" s="18" t="str">
        <f>'Cashflow Schedule'!E393</f>
        <v/>
      </c>
      <c r="C393" s="22" t="str">
        <f>IF(A393="","",Inputs!$C$6*EXP((Inputs!$C$8-Inputs!$C$7)*A393))</f>
        <v/>
      </c>
      <c r="D393" s="22" t="str">
        <f t="shared" si="1"/>
        <v/>
      </c>
      <c r="E393" s="21" t="str">
        <f>IF(A393="","",EXP(-Inputs!$C$8*A393))</f>
        <v/>
      </c>
      <c r="F393" s="22" t="str">
        <f t="shared" si="2"/>
        <v/>
      </c>
    </row>
    <row r="394">
      <c r="A394" s="18" t="str">
        <f>'Cashflow Schedule'!B394</f>
        <v/>
      </c>
      <c r="B394" s="18" t="str">
        <f>'Cashflow Schedule'!E394</f>
        <v/>
      </c>
      <c r="C394" s="22" t="str">
        <f>IF(A394="","",Inputs!$C$6*EXP((Inputs!$C$8-Inputs!$C$7)*A394))</f>
        <v/>
      </c>
      <c r="D394" s="22" t="str">
        <f t="shared" si="1"/>
        <v/>
      </c>
      <c r="E394" s="21" t="str">
        <f>IF(A394="","",EXP(-Inputs!$C$8*A394))</f>
        <v/>
      </c>
      <c r="F394" s="22" t="str">
        <f t="shared" si="2"/>
        <v/>
      </c>
    </row>
    <row r="395">
      <c r="A395" s="18" t="str">
        <f>'Cashflow Schedule'!B395</f>
        <v/>
      </c>
      <c r="B395" s="18" t="str">
        <f>'Cashflow Schedule'!E395</f>
        <v/>
      </c>
      <c r="C395" s="22" t="str">
        <f>IF(A395="","",Inputs!$C$6*EXP((Inputs!$C$8-Inputs!$C$7)*A395))</f>
        <v/>
      </c>
      <c r="D395" s="22" t="str">
        <f t="shared" si="1"/>
        <v/>
      </c>
      <c r="E395" s="21" t="str">
        <f>IF(A395="","",EXP(-Inputs!$C$8*A395))</f>
        <v/>
      </c>
      <c r="F395" s="22" t="str">
        <f t="shared" si="2"/>
        <v/>
      </c>
    </row>
    <row r="396">
      <c r="A396" s="18" t="str">
        <f>'Cashflow Schedule'!B396</f>
        <v/>
      </c>
      <c r="B396" s="18" t="str">
        <f>'Cashflow Schedule'!E396</f>
        <v/>
      </c>
      <c r="C396" s="22" t="str">
        <f>IF(A396="","",Inputs!$C$6*EXP((Inputs!$C$8-Inputs!$C$7)*A396))</f>
        <v/>
      </c>
      <c r="D396" s="22" t="str">
        <f t="shared" si="1"/>
        <v/>
      </c>
      <c r="E396" s="21" t="str">
        <f>IF(A396="","",EXP(-Inputs!$C$8*A396))</f>
        <v/>
      </c>
      <c r="F396" s="22" t="str">
        <f t="shared" si="2"/>
        <v/>
      </c>
    </row>
    <row r="397">
      <c r="A397" s="18" t="str">
        <f>'Cashflow Schedule'!B397</f>
        <v/>
      </c>
      <c r="B397" s="18" t="str">
        <f>'Cashflow Schedule'!E397</f>
        <v/>
      </c>
      <c r="C397" s="22" t="str">
        <f>IF(A397="","",Inputs!$C$6*EXP((Inputs!$C$8-Inputs!$C$7)*A397))</f>
        <v/>
      </c>
      <c r="D397" s="22" t="str">
        <f t="shared" si="1"/>
        <v/>
      </c>
      <c r="E397" s="21" t="str">
        <f>IF(A397="","",EXP(-Inputs!$C$8*A397))</f>
        <v/>
      </c>
      <c r="F397" s="22" t="str">
        <f t="shared" si="2"/>
        <v/>
      </c>
    </row>
    <row r="398">
      <c r="A398" s="18" t="str">
        <f>'Cashflow Schedule'!B398</f>
        <v/>
      </c>
      <c r="B398" s="18" t="str">
        <f>'Cashflow Schedule'!E398</f>
        <v/>
      </c>
      <c r="C398" s="22" t="str">
        <f>IF(A398="","",Inputs!$C$6*EXP((Inputs!$C$8-Inputs!$C$7)*A398))</f>
        <v/>
      </c>
      <c r="D398" s="22" t="str">
        <f t="shared" si="1"/>
        <v/>
      </c>
      <c r="E398" s="21" t="str">
        <f>IF(A398="","",EXP(-Inputs!$C$8*A398))</f>
        <v/>
      </c>
      <c r="F398" s="22" t="str">
        <f t="shared" si="2"/>
        <v/>
      </c>
    </row>
    <row r="399">
      <c r="A399" s="18" t="str">
        <f>'Cashflow Schedule'!B399</f>
        <v/>
      </c>
      <c r="B399" s="18" t="str">
        <f>'Cashflow Schedule'!E399</f>
        <v/>
      </c>
      <c r="C399" s="22" t="str">
        <f>IF(A399="","",Inputs!$C$6*EXP((Inputs!$C$8-Inputs!$C$7)*A399))</f>
        <v/>
      </c>
      <c r="D399" s="22" t="str">
        <f t="shared" si="1"/>
        <v/>
      </c>
      <c r="E399" s="21" t="str">
        <f>IF(A399="","",EXP(-Inputs!$C$8*A399))</f>
        <v/>
      </c>
      <c r="F399" s="22" t="str">
        <f t="shared" si="2"/>
        <v/>
      </c>
    </row>
    <row r="400">
      <c r="A400" s="18" t="str">
        <f>'Cashflow Schedule'!B400</f>
        <v/>
      </c>
      <c r="B400" s="18" t="str">
        <f>'Cashflow Schedule'!E400</f>
        <v/>
      </c>
      <c r="C400" s="22" t="str">
        <f>IF(A400="","",Inputs!$C$6*EXP((Inputs!$C$8-Inputs!$C$7)*A400))</f>
        <v/>
      </c>
      <c r="D400" s="22" t="str">
        <f t="shared" si="1"/>
        <v/>
      </c>
      <c r="E400" s="21" t="str">
        <f>IF(A400="","",EXP(-Inputs!$C$8*A400))</f>
        <v/>
      </c>
      <c r="F400" s="22" t="str">
        <f t="shared" si="2"/>
        <v/>
      </c>
    </row>
    <row r="401">
      <c r="A401" s="18" t="str">
        <f>'Cashflow Schedule'!B401</f>
        <v/>
      </c>
      <c r="B401" s="18" t="str">
        <f>'Cashflow Schedule'!E401</f>
        <v/>
      </c>
      <c r="C401" s="22" t="str">
        <f>IF(A401="","",Inputs!$C$6*EXP((Inputs!$C$8-Inputs!$C$7)*A401))</f>
        <v/>
      </c>
      <c r="D401" s="22" t="str">
        <f t="shared" si="1"/>
        <v/>
      </c>
      <c r="E401" s="21" t="str">
        <f>IF(A401="","",EXP(-Inputs!$C$8*A401))</f>
        <v/>
      </c>
      <c r="F401" s="22" t="str">
        <f t="shared" si="2"/>
        <v/>
      </c>
    </row>
    <row r="402">
      <c r="A402" s="18" t="str">
        <f>'Cashflow Schedule'!B402</f>
        <v/>
      </c>
      <c r="B402" s="18" t="str">
        <f>'Cashflow Schedule'!E402</f>
        <v/>
      </c>
      <c r="C402" s="22" t="str">
        <f>IF(A402="","",Inputs!$C$6*EXP((Inputs!$C$8-Inputs!$C$7)*A402))</f>
        <v/>
      </c>
      <c r="D402" s="22" t="str">
        <f t="shared" si="1"/>
        <v/>
      </c>
      <c r="E402" s="21" t="str">
        <f>IF(A402="","",EXP(-Inputs!$C$8*A402))</f>
        <v/>
      </c>
      <c r="F402" s="22" t="str">
        <f t="shared" si="2"/>
        <v/>
      </c>
    </row>
    <row r="403">
      <c r="A403" s="18" t="str">
        <f>'Cashflow Schedule'!B403</f>
        <v/>
      </c>
      <c r="B403" s="18" t="str">
        <f>'Cashflow Schedule'!E403</f>
        <v/>
      </c>
      <c r="C403" s="22" t="str">
        <f>IF(A403="","",Inputs!$C$6*EXP((Inputs!$C$8-Inputs!$C$7)*A403))</f>
        <v/>
      </c>
      <c r="D403" s="22" t="str">
        <f t="shared" si="1"/>
        <v/>
      </c>
      <c r="E403" s="21" t="str">
        <f>IF(A403="","",EXP(-Inputs!$C$8*A403))</f>
        <v/>
      </c>
      <c r="F403" s="22" t="str">
        <f t="shared" si="2"/>
        <v/>
      </c>
    </row>
    <row r="404">
      <c r="A404" s="18" t="str">
        <f>'Cashflow Schedule'!B404</f>
        <v/>
      </c>
      <c r="B404" s="18" t="str">
        <f>'Cashflow Schedule'!E404</f>
        <v/>
      </c>
      <c r="C404" s="22" t="str">
        <f>IF(A404="","",Inputs!$C$6*EXP((Inputs!$C$8-Inputs!$C$7)*A404))</f>
        <v/>
      </c>
      <c r="D404" s="22" t="str">
        <f t="shared" si="1"/>
        <v/>
      </c>
      <c r="E404" s="21" t="str">
        <f>IF(A404="","",EXP(-Inputs!$C$8*A404))</f>
        <v/>
      </c>
      <c r="F404" s="22" t="str">
        <f t="shared" si="2"/>
        <v/>
      </c>
    </row>
    <row r="405">
      <c r="A405" s="18" t="str">
        <f>'Cashflow Schedule'!B405</f>
        <v/>
      </c>
      <c r="B405" s="18" t="str">
        <f>'Cashflow Schedule'!E405</f>
        <v/>
      </c>
      <c r="C405" s="22" t="str">
        <f>IF(A405="","",Inputs!$C$6*EXP((Inputs!$C$8-Inputs!$C$7)*A405))</f>
        <v/>
      </c>
      <c r="D405" s="22" t="str">
        <f t="shared" si="1"/>
        <v/>
      </c>
      <c r="E405" s="21" t="str">
        <f>IF(A405="","",EXP(-Inputs!$C$8*A405))</f>
        <v/>
      </c>
      <c r="F405" s="22" t="str">
        <f t="shared" si="2"/>
        <v/>
      </c>
    </row>
    <row r="406">
      <c r="A406" s="18" t="str">
        <f>'Cashflow Schedule'!B406</f>
        <v/>
      </c>
      <c r="B406" s="18" t="str">
        <f>'Cashflow Schedule'!E406</f>
        <v/>
      </c>
      <c r="C406" s="22" t="str">
        <f>IF(A406="","",Inputs!$C$6*EXP((Inputs!$C$8-Inputs!$C$7)*A406))</f>
        <v/>
      </c>
      <c r="D406" s="22" t="str">
        <f t="shared" si="1"/>
        <v/>
      </c>
      <c r="E406" s="21" t="str">
        <f>IF(A406="","",EXP(-Inputs!$C$8*A406))</f>
        <v/>
      </c>
      <c r="F406" s="22" t="str">
        <f t="shared" si="2"/>
        <v/>
      </c>
    </row>
    <row r="407">
      <c r="A407" s="18" t="str">
        <f>'Cashflow Schedule'!B407</f>
        <v/>
      </c>
      <c r="B407" s="18" t="str">
        <f>'Cashflow Schedule'!E407</f>
        <v/>
      </c>
      <c r="C407" s="22" t="str">
        <f>IF(A407="","",Inputs!$C$6*EXP((Inputs!$C$8-Inputs!$C$7)*A407))</f>
        <v/>
      </c>
      <c r="D407" s="22" t="str">
        <f t="shared" si="1"/>
        <v/>
      </c>
      <c r="E407" s="21" t="str">
        <f>IF(A407="","",EXP(-Inputs!$C$8*A407))</f>
        <v/>
      </c>
      <c r="F407" s="22" t="str">
        <f t="shared" si="2"/>
        <v/>
      </c>
    </row>
    <row r="408">
      <c r="A408" s="18" t="str">
        <f>'Cashflow Schedule'!B408</f>
        <v/>
      </c>
      <c r="B408" s="18" t="str">
        <f>'Cashflow Schedule'!E408</f>
        <v/>
      </c>
      <c r="C408" s="22" t="str">
        <f>IF(A408="","",Inputs!$C$6*EXP((Inputs!$C$8-Inputs!$C$7)*A408))</f>
        <v/>
      </c>
      <c r="D408" s="22" t="str">
        <f t="shared" si="1"/>
        <v/>
      </c>
      <c r="E408" s="21" t="str">
        <f>IF(A408="","",EXP(-Inputs!$C$8*A408))</f>
        <v/>
      </c>
      <c r="F408" s="22" t="str">
        <f t="shared" si="2"/>
        <v/>
      </c>
    </row>
    <row r="409">
      <c r="A409" s="18" t="str">
        <f>'Cashflow Schedule'!B409</f>
        <v/>
      </c>
      <c r="B409" s="18" t="str">
        <f>'Cashflow Schedule'!E409</f>
        <v/>
      </c>
      <c r="C409" s="22" t="str">
        <f>IF(A409="","",Inputs!$C$6*EXP((Inputs!$C$8-Inputs!$C$7)*A409))</f>
        <v/>
      </c>
      <c r="D409" s="22" t="str">
        <f t="shared" si="1"/>
        <v/>
      </c>
      <c r="E409" s="21" t="str">
        <f>IF(A409="","",EXP(-Inputs!$C$8*A409))</f>
        <v/>
      </c>
      <c r="F409" s="22" t="str">
        <f t="shared" si="2"/>
        <v/>
      </c>
    </row>
    <row r="410">
      <c r="A410" s="18" t="str">
        <f>'Cashflow Schedule'!B410</f>
        <v/>
      </c>
      <c r="B410" s="18" t="str">
        <f>'Cashflow Schedule'!E410</f>
        <v/>
      </c>
      <c r="C410" s="22" t="str">
        <f>IF(A410="","",Inputs!$C$6*EXP((Inputs!$C$8-Inputs!$C$7)*A410))</f>
        <v/>
      </c>
      <c r="D410" s="22" t="str">
        <f t="shared" si="1"/>
        <v/>
      </c>
      <c r="E410" s="21" t="str">
        <f>IF(A410="","",EXP(-Inputs!$C$8*A410))</f>
        <v/>
      </c>
      <c r="F410" s="22" t="str">
        <f t="shared" si="2"/>
        <v/>
      </c>
    </row>
    <row r="411">
      <c r="A411" s="18" t="str">
        <f>'Cashflow Schedule'!B411</f>
        <v/>
      </c>
      <c r="B411" s="18" t="str">
        <f>'Cashflow Schedule'!E411</f>
        <v/>
      </c>
      <c r="C411" s="22" t="str">
        <f>IF(A411="","",Inputs!$C$6*EXP((Inputs!$C$8-Inputs!$C$7)*A411))</f>
        <v/>
      </c>
      <c r="D411" s="22" t="str">
        <f t="shared" si="1"/>
        <v/>
      </c>
      <c r="E411" s="21" t="str">
        <f>IF(A411="","",EXP(-Inputs!$C$8*A411))</f>
        <v/>
      </c>
      <c r="F411" s="22" t="str">
        <f t="shared" si="2"/>
        <v/>
      </c>
    </row>
    <row r="412">
      <c r="A412" s="18" t="str">
        <f>'Cashflow Schedule'!B412</f>
        <v/>
      </c>
      <c r="B412" s="18" t="str">
        <f>'Cashflow Schedule'!E412</f>
        <v/>
      </c>
      <c r="C412" s="22" t="str">
        <f>IF(A412="","",Inputs!$C$6*EXP((Inputs!$C$8-Inputs!$C$7)*A412))</f>
        <v/>
      </c>
      <c r="D412" s="22" t="str">
        <f t="shared" si="1"/>
        <v/>
      </c>
      <c r="E412" s="21" t="str">
        <f>IF(A412="","",EXP(-Inputs!$C$8*A412))</f>
        <v/>
      </c>
      <c r="F412" s="22" t="str">
        <f t="shared" si="2"/>
        <v/>
      </c>
    </row>
    <row r="413">
      <c r="A413" s="18" t="str">
        <f>'Cashflow Schedule'!B413</f>
        <v/>
      </c>
      <c r="B413" s="18" t="str">
        <f>'Cashflow Schedule'!E413</f>
        <v/>
      </c>
      <c r="C413" s="22" t="str">
        <f>IF(A413="","",Inputs!$C$6*EXP((Inputs!$C$8-Inputs!$C$7)*A413))</f>
        <v/>
      </c>
      <c r="D413" s="22" t="str">
        <f t="shared" si="1"/>
        <v/>
      </c>
      <c r="E413" s="21" t="str">
        <f>IF(A413="","",EXP(-Inputs!$C$8*A413))</f>
        <v/>
      </c>
      <c r="F413" s="22" t="str">
        <f t="shared" si="2"/>
        <v/>
      </c>
    </row>
    <row r="414">
      <c r="A414" s="18" t="str">
        <f>'Cashflow Schedule'!B414</f>
        <v/>
      </c>
      <c r="B414" s="18" t="str">
        <f>'Cashflow Schedule'!E414</f>
        <v/>
      </c>
      <c r="C414" s="22" t="str">
        <f>IF(A414="","",Inputs!$C$6*EXP((Inputs!$C$8-Inputs!$C$7)*A414))</f>
        <v/>
      </c>
      <c r="D414" s="22" t="str">
        <f t="shared" si="1"/>
        <v/>
      </c>
      <c r="E414" s="21" t="str">
        <f>IF(A414="","",EXP(-Inputs!$C$8*A414))</f>
        <v/>
      </c>
      <c r="F414" s="22" t="str">
        <f t="shared" si="2"/>
        <v/>
      </c>
    </row>
    <row r="415">
      <c r="A415" s="18" t="str">
        <f>'Cashflow Schedule'!B415</f>
        <v/>
      </c>
      <c r="B415" s="18" t="str">
        <f>'Cashflow Schedule'!E415</f>
        <v/>
      </c>
      <c r="C415" s="22" t="str">
        <f>IF(A415="","",Inputs!$C$6*EXP((Inputs!$C$8-Inputs!$C$7)*A415))</f>
        <v/>
      </c>
      <c r="D415" s="22" t="str">
        <f t="shared" si="1"/>
        <v/>
      </c>
      <c r="E415" s="21" t="str">
        <f>IF(A415="","",EXP(-Inputs!$C$8*A415))</f>
        <v/>
      </c>
      <c r="F415" s="22" t="str">
        <f t="shared" si="2"/>
        <v/>
      </c>
    </row>
    <row r="416">
      <c r="A416" s="18" t="str">
        <f>'Cashflow Schedule'!B416</f>
        <v/>
      </c>
      <c r="B416" s="18" t="str">
        <f>'Cashflow Schedule'!E416</f>
        <v/>
      </c>
      <c r="C416" s="22" t="str">
        <f>IF(A416="","",Inputs!$C$6*EXP((Inputs!$C$8-Inputs!$C$7)*A416))</f>
        <v/>
      </c>
      <c r="D416" s="22" t="str">
        <f t="shared" si="1"/>
        <v/>
      </c>
      <c r="E416" s="21" t="str">
        <f>IF(A416="","",EXP(-Inputs!$C$8*A416))</f>
        <v/>
      </c>
      <c r="F416" s="22" t="str">
        <f t="shared" si="2"/>
        <v/>
      </c>
    </row>
    <row r="417">
      <c r="A417" s="18" t="str">
        <f>'Cashflow Schedule'!B417</f>
        <v/>
      </c>
      <c r="B417" s="18" t="str">
        <f>'Cashflow Schedule'!E417</f>
        <v/>
      </c>
      <c r="C417" s="22" t="str">
        <f>IF(A417="","",Inputs!$C$6*EXP((Inputs!$C$8-Inputs!$C$7)*A417))</f>
        <v/>
      </c>
      <c r="D417" s="22" t="str">
        <f t="shared" si="1"/>
        <v/>
      </c>
      <c r="E417" s="21" t="str">
        <f>IF(A417="","",EXP(-Inputs!$C$8*A417))</f>
        <v/>
      </c>
      <c r="F417" s="22" t="str">
        <f t="shared" si="2"/>
        <v/>
      </c>
    </row>
    <row r="418">
      <c r="A418" s="18" t="str">
        <f>'Cashflow Schedule'!B418</f>
        <v/>
      </c>
      <c r="B418" s="18" t="str">
        <f>'Cashflow Schedule'!E418</f>
        <v/>
      </c>
      <c r="C418" s="22" t="str">
        <f>IF(A418="","",Inputs!$C$6*EXP((Inputs!$C$8-Inputs!$C$7)*A418))</f>
        <v/>
      </c>
      <c r="D418" s="22" t="str">
        <f t="shared" si="1"/>
        <v/>
      </c>
      <c r="E418" s="21" t="str">
        <f>IF(A418="","",EXP(-Inputs!$C$8*A418))</f>
        <v/>
      </c>
      <c r="F418" s="22" t="str">
        <f t="shared" si="2"/>
        <v/>
      </c>
    </row>
    <row r="419">
      <c r="A419" s="18" t="str">
        <f>'Cashflow Schedule'!B419</f>
        <v/>
      </c>
      <c r="B419" s="18" t="str">
        <f>'Cashflow Schedule'!E419</f>
        <v/>
      </c>
      <c r="C419" s="22" t="str">
        <f>IF(A419="","",Inputs!$C$6*EXP((Inputs!$C$8-Inputs!$C$7)*A419))</f>
        <v/>
      </c>
      <c r="D419" s="22" t="str">
        <f t="shared" si="1"/>
        <v/>
      </c>
      <c r="E419" s="21" t="str">
        <f>IF(A419="","",EXP(-Inputs!$C$8*A419))</f>
        <v/>
      </c>
      <c r="F419" s="22" t="str">
        <f t="shared" si="2"/>
        <v/>
      </c>
    </row>
    <row r="420">
      <c r="A420" s="18" t="str">
        <f>'Cashflow Schedule'!B420</f>
        <v/>
      </c>
      <c r="B420" s="18" t="str">
        <f>'Cashflow Schedule'!E420</f>
        <v/>
      </c>
      <c r="C420" s="22" t="str">
        <f>IF(A420="","",Inputs!$C$6*EXP((Inputs!$C$8-Inputs!$C$7)*A420))</f>
        <v/>
      </c>
      <c r="D420" s="22" t="str">
        <f t="shared" si="1"/>
        <v/>
      </c>
      <c r="E420" s="21" t="str">
        <f>IF(A420="","",EXP(-Inputs!$C$8*A420))</f>
        <v/>
      </c>
      <c r="F420" s="22" t="str">
        <f t="shared" si="2"/>
        <v/>
      </c>
    </row>
    <row r="421">
      <c r="A421" s="18" t="str">
        <f>'Cashflow Schedule'!B421</f>
        <v/>
      </c>
      <c r="B421" s="18" t="str">
        <f>'Cashflow Schedule'!E421</f>
        <v/>
      </c>
      <c r="C421" s="22" t="str">
        <f>IF(A421="","",Inputs!$C$6*EXP((Inputs!$C$8-Inputs!$C$7)*A421))</f>
        <v/>
      </c>
      <c r="D421" s="22" t="str">
        <f t="shared" si="1"/>
        <v/>
      </c>
      <c r="E421" s="21" t="str">
        <f>IF(A421="","",EXP(-Inputs!$C$8*A421))</f>
        <v/>
      </c>
      <c r="F421" s="22" t="str">
        <f t="shared" si="2"/>
        <v/>
      </c>
    </row>
    <row r="422">
      <c r="A422" s="18" t="str">
        <f>'Cashflow Schedule'!B422</f>
        <v/>
      </c>
      <c r="B422" s="18" t="str">
        <f>'Cashflow Schedule'!E422</f>
        <v/>
      </c>
      <c r="C422" s="22" t="str">
        <f>IF(A422="","",Inputs!$C$6*EXP((Inputs!$C$8-Inputs!$C$7)*A422))</f>
        <v/>
      </c>
      <c r="D422" s="22" t="str">
        <f t="shared" si="1"/>
        <v/>
      </c>
      <c r="E422" s="21" t="str">
        <f>IF(A422="","",EXP(-Inputs!$C$8*A422))</f>
        <v/>
      </c>
      <c r="F422" s="22" t="str">
        <f t="shared" si="2"/>
        <v/>
      </c>
    </row>
    <row r="423">
      <c r="A423" s="18" t="str">
        <f>'Cashflow Schedule'!B423</f>
        <v/>
      </c>
      <c r="B423" s="18" t="str">
        <f>'Cashflow Schedule'!E423</f>
        <v/>
      </c>
      <c r="C423" s="22" t="str">
        <f>IF(A423="","",Inputs!$C$6*EXP((Inputs!$C$8-Inputs!$C$7)*A423))</f>
        <v/>
      </c>
      <c r="D423" s="22" t="str">
        <f t="shared" si="1"/>
        <v/>
      </c>
      <c r="E423" s="21" t="str">
        <f>IF(A423="","",EXP(-Inputs!$C$8*A423))</f>
        <v/>
      </c>
      <c r="F423" s="22" t="str">
        <f t="shared" si="2"/>
        <v/>
      </c>
    </row>
    <row r="424">
      <c r="A424" s="18" t="str">
        <f>'Cashflow Schedule'!B424</f>
        <v/>
      </c>
      <c r="B424" s="18" t="str">
        <f>'Cashflow Schedule'!E424</f>
        <v/>
      </c>
      <c r="C424" s="22" t="str">
        <f>IF(A424="","",Inputs!$C$6*EXP((Inputs!$C$8-Inputs!$C$7)*A424))</f>
        <v/>
      </c>
      <c r="D424" s="22" t="str">
        <f t="shared" si="1"/>
        <v/>
      </c>
      <c r="E424" s="21" t="str">
        <f>IF(A424="","",EXP(-Inputs!$C$8*A424))</f>
        <v/>
      </c>
      <c r="F424" s="22" t="str">
        <f t="shared" si="2"/>
        <v/>
      </c>
    </row>
    <row r="425">
      <c r="A425" s="18" t="str">
        <f>'Cashflow Schedule'!B425</f>
        <v/>
      </c>
      <c r="B425" s="18" t="str">
        <f>'Cashflow Schedule'!E425</f>
        <v/>
      </c>
      <c r="C425" s="22" t="str">
        <f>IF(A425="","",Inputs!$C$6*EXP((Inputs!$C$8-Inputs!$C$7)*A425))</f>
        <v/>
      </c>
      <c r="D425" s="22" t="str">
        <f t="shared" si="1"/>
        <v/>
      </c>
      <c r="E425" s="21" t="str">
        <f>IF(A425="","",EXP(-Inputs!$C$8*A425))</f>
        <v/>
      </c>
      <c r="F425" s="22" t="str">
        <f t="shared" si="2"/>
        <v/>
      </c>
    </row>
    <row r="426">
      <c r="A426" s="18" t="str">
        <f>'Cashflow Schedule'!B426</f>
        <v/>
      </c>
      <c r="B426" s="18" t="str">
        <f>'Cashflow Schedule'!E426</f>
        <v/>
      </c>
      <c r="C426" s="22" t="str">
        <f>IF(A426="","",Inputs!$C$6*EXP((Inputs!$C$8-Inputs!$C$7)*A426))</f>
        <v/>
      </c>
      <c r="D426" s="22" t="str">
        <f t="shared" si="1"/>
        <v/>
      </c>
      <c r="E426" s="21" t="str">
        <f>IF(A426="","",EXP(-Inputs!$C$8*A426))</f>
        <v/>
      </c>
      <c r="F426" s="22" t="str">
        <f t="shared" si="2"/>
        <v/>
      </c>
    </row>
    <row r="427">
      <c r="A427" s="18" t="str">
        <f>'Cashflow Schedule'!B427</f>
        <v/>
      </c>
      <c r="B427" s="18" t="str">
        <f>'Cashflow Schedule'!E427</f>
        <v/>
      </c>
      <c r="C427" s="22" t="str">
        <f>IF(A427="","",Inputs!$C$6*EXP((Inputs!$C$8-Inputs!$C$7)*A427))</f>
        <v/>
      </c>
      <c r="D427" s="22" t="str">
        <f t="shared" si="1"/>
        <v/>
      </c>
      <c r="E427" s="21" t="str">
        <f>IF(A427="","",EXP(-Inputs!$C$8*A427))</f>
        <v/>
      </c>
      <c r="F427" s="22" t="str">
        <f t="shared" si="2"/>
        <v/>
      </c>
    </row>
    <row r="428">
      <c r="A428" s="18" t="str">
        <f>'Cashflow Schedule'!B428</f>
        <v/>
      </c>
      <c r="B428" s="18" t="str">
        <f>'Cashflow Schedule'!E428</f>
        <v/>
      </c>
      <c r="C428" s="22" t="str">
        <f>IF(A428="","",Inputs!$C$6*EXP((Inputs!$C$8-Inputs!$C$7)*A428))</f>
        <v/>
      </c>
      <c r="D428" s="22" t="str">
        <f t="shared" si="1"/>
        <v/>
      </c>
      <c r="E428" s="21" t="str">
        <f>IF(A428="","",EXP(-Inputs!$C$8*A428))</f>
        <v/>
      </c>
      <c r="F428" s="22" t="str">
        <f t="shared" si="2"/>
        <v/>
      </c>
    </row>
    <row r="429">
      <c r="A429" s="18" t="str">
        <f>'Cashflow Schedule'!B429</f>
        <v/>
      </c>
      <c r="B429" s="18" t="str">
        <f>'Cashflow Schedule'!E429</f>
        <v/>
      </c>
      <c r="C429" s="22" t="str">
        <f>IF(A429="","",Inputs!$C$6*EXP((Inputs!$C$8-Inputs!$C$7)*A429))</f>
        <v/>
      </c>
      <c r="D429" s="22" t="str">
        <f t="shared" si="1"/>
        <v/>
      </c>
      <c r="E429" s="21" t="str">
        <f>IF(A429="","",EXP(-Inputs!$C$8*A429))</f>
        <v/>
      </c>
      <c r="F429" s="22" t="str">
        <f t="shared" si="2"/>
        <v/>
      </c>
    </row>
    <row r="430">
      <c r="A430" s="18" t="str">
        <f>'Cashflow Schedule'!B430</f>
        <v/>
      </c>
      <c r="B430" s="18" t="str">
        <f>'Cashflow Schedule'!E430</f>
        <v/>
      </c>
      <c r="C430" s="22" t="str">
        <f>IF(A430="","",Inputs!$C$6*EXP((Inputs!$C$8-Inputs!$C$7)*A430))</f>
        <v/>
      </c>
      <c r="D430" s="22" t="str">
        <f t="shared" si="1"/>
        <v/>
      </c>
      <c r="E430" s="21" t="str">
        <f>IF(A430="","",EXP(-Inputs!$C$8*A430))</f>
        <v/>
      </c>
      <c r="F430" s="22" t="str">
        <f t="shared" si="2"/>
        <v/>
      </c>
    </row>
    <row r="431">
      <c r="A431" s="18" t="str">
        <f>'Cashflow Schedule'!B431</f>
        <v/>
      </c>
      <c r="B431" s="18" t="str">
        <f>'Cashflow Schedule'!E431</f>
        <v/>
      </c>
      <c r="C431" s="22" t="str">
        <f>IF(A431="","",Inputs!$C$6*EXP((Inputs!$C$8-Inputs!$C$7)*A431))</f>
        <v/>
      </c>
      <c r="D431" s="22" t="str">
        <f t="shared" si="1"/>
        <v/>
      </c>
      <c r="E431" s="21" t="str">
        <f>IF(A431="","",EXP(-Inputs!$C$8*A431))</f>
        <v/>
      </c>
      <c r="F431" s="22" t="str">
        <f t="shared" si="2"/>
        <v/>
      </c>
    </row>
    <row r="432">
      <c r="A432" s="18" t="str">
        <f>'Cashflow Schedule'!B432</f>
        <v/>
      </c>
      <c r="B432" s="18" t="str">
        <f>'Cashflow Schedule'!E432</f>
        <v/>
      </c>
      <c r="C432" s="22" t="str">
        <f>IF(A432="","",Inputs!$C$6*EXP((Inputs!$C$8-Inputs!$C$7)*A432))</f>
        <v/>
      </c>
      <c r="D432" s="22" t="str">
        <f t="shared" si="1"/>
        <v/>
      </c>
      <c r="E432" s="21" t="str">
        <f>IF(A432="","",EXP(-Inputs!$C$8*A432))</f>
        <v/>
      </c>
      <c r="F432" s="22" t="str">
        <f t="shared" si="2"/>
        <v/>
      </c>
    </row>
    <row r="433">
      <c r="A433" s="18" t="str">
        <f>'Cashflow Schedule'!B433</f>
        <v/>
      </c>
      <c r="B433" s="18" t="str">
        <f>'Cashflow Schedule'!E433</f>
        <v/>
      </c>
      <c r="C433" s="22" t="str">
        <f>IF(A433="","",Inputs!$C$6*EXP((Inputs!$C$8-Inputs!$C$7)*A433))</f>
        <v/>
      </c>
      <c r="D433" s="22" t="str">
        <f t="shared" si="1"/>
        <v/>
      </c>
      <c r="E433" s="21" t="str">
        <f>IF(A433="","",EXP(-Inputs!$C$8*A433))</f>
        <v/>
      </c>
      <c r="F433" s="22" t="str">
        <f t="shared" si="2"/>
        <v/>
      </c>
    </row>
    <row r="434">
      <c r="A434" s="18" t="str">
        <f>'Cashflow Schedule'!B434</f>
        <v/>
      </c>
      <c r="B434" s="18" t="str">
        <f>'Cashflow Schedule'!E434</f>
        <v/>
      </c>
      <c r="C434" s="22" t="str">
        <f>IF(A434="","",Inputs!$C$6*EXP((Inputs!$C$8-Inputs!$C$7)*A434))</f>
        <v/>
      </c>
      <c r="D434" s="22" t="str">
        <f t="shared" si="1"/>
        <v/>
      </c>
      <c r="E434" s="21" t="str">
        <f>IF(A434="","",EXP(-Inputs!$C$8*A434))</f>
        <v/>
      </c>
      <c r="F434" s="22" t="str">
        <f t="shared" si="2"/>
        <v/>
      </c>
    </row>
    <row r="435">
      <c r="A435" s="18" t="str">
        <f>'Cashflow Schedule'!B435</f>
        <v/>
      </c>
      <c r="B435" s="18" t="str">
        <f>'Cashflow Schedule'!E435</f>
        <v/>
      </c>
      <c r="C435" s="22" t="str">
        <f>IF(A435="","",Inputs!$C$6*EXP((Inputs!$C$8-Inputs!$C$7)*A435))</f>
        <v/>
      </c>
      <c r="D435" s="22" t="str">
        <f t="shared" si="1"/>
        <v/>
      </c>
      <c r="E435" s="21" t="str">
        <f>IF(A435="","",EXP(-Inputs!$C$8*A435))</f>
        <v/>
      </c>
      <c r="F435" s="22" t="str">
        <f t="shared" si="2"/>
        <v/>
      </c>
    </row>
    <row r="436">
      <c r="A436" s="18" t="str">
        <f>'Cashflow Schedule'!B436</f>
        <v/>
      </c>
      <c r="B436" s="18" t="str">
        <f>'Cashflow Schedule'!E436</f>
        <v/>
      </c>
      <c r="C436" s="22" t="str">
        <f>IF(A436="","",Inputs!$C$6*EXP((Inputs!$C$8-Inputs!$C$7)*A436))</f>
        <v/>
      </c>
      <c r="D436" s="22" t="str">
        <f t="shared" si="1"/>
        <v/>
      </c>
      <c r="E436" s="21" t="str">
        <f>IF(A436="","",EXP(-Inputs!$C$8*A436))</f>
        <v/>
      </c>
      <c r="F436" s="22" t="str">
        <f t="shared" si="2"/>
        <v/>
      </c>
    </row>
    <row r="437">
      <c r="A437" s="18" t="str">
        <f>'Cashflow Schedule'!B437</f>
        <v/>
      </c>
      <c r="B437" s="18" t="str">
        <f>'Cashflow Schedule'!E437</f>
        <v/>
      </c>
      <c r="C437" s="22" t="str">
        <f>IF(A437="","",Inputs!$C$6*EXP((Inputs!$C$8-Inputs!$C$7)*A437))</f>
        <v/>
      </c>
      <c r="D437" s="22" t="str">
        <f t="shared" si="1"/>
        <v/>
      </c>
      <c r="E437" s="21" t="str">
        <f>IF(A437="","",EXP(-Inputs!$C$8*A437))</f>
        <v/>
      </c>
      <c r="F437" s="22" t="str">
        <f t="shared" si="2"/>
        <v/>
      </c>
    </row>
    <row r="438">
      <c r="A438" s="18" t="str">
        <f>'Cashflow Schedule'!B438</f>
        <v/>
      </c>
      <c r="B438" s="18" t="str">
        <f>'Cashflow Schedule'!E438</f>
        <v/>
      </c>
      <c r="C438" s="22" t="str">
        <f>IF(A438="","",Inputs!$C$6*EXP((Inputs!$C$8-Inputs!$C$7)*A438))</f>
        <v/>
      </c>
      <c r="D438" s="22" t="str">
        <f t="shared" si="1"/>
        <v/>
      </c>
      <c r="E438" s="21" t="str">
        <f>IF(A438="","",EXP(-Inputs!$C$8*A438))</f>
        <v/>
      </c>
      <c r="F438" s="22" t="str">
        <f t="shared" si="2"/>
        <v/>
      </c>
    </row>
    <row r="439">
      <c r="A439" s="18" t="str">
        <f>'Cashflow Schedule'!B439</f>
        <v/>
      </c>
      <c r="B439" s="18" t="str">
        <f>'Cashflow Schedule'!E439</f>
        <v/>
      </c>
      <c r="C439" s="22" t="str">
        <f>IF(A439="","",Inputs!$C$6*EXP((Inputs!$C$8-Inputs!$C$7)*A439))</f>
        <v/>
      </c>
      <c r="D439" s="22" t="str">
        <f t="shared" si="1"/>
        <v/>
      </c>
      <c r="E439" s="21" t="str">
        <f>IF(A439="","",EXP(-Inputs!$C$8*A439))</f>
        <v/>
      </c>
      <c r="F439" s="22" t="str">
        <f t="shared" si="2"/>
        <v/>
      </c>
    </row>
    <row r="440">
      <c r="A440" s="18" t="str">
        <f>'Cashflow Schedule'!B440</f>
        <v/>
      </c>
      <c r="B440" s="18" t="str">
        <f>'Cashflow Schedule'!E440</f>
        <v/>
      </c>
      <c r="C440" s="22" t="str">
        <f>IF(A440="","",Inputs!$C$6*EXP((Inputs!$C$8-Inputs!$C$7)*A440))</f>
        <v/>
      </c>
      <c r="D440" s="22" t="str">
        <f t="shared" si="1"/>
        <v/>
      </c>
      <c r="E440" s="21" t="str">
        <f>IF(A440="","",EXP(-Inputs!$C$8*A440))</f>
        <v/>
      </c>
      <c r="F440" s="22" t="str">
        <f t="shared" si="2"/>
        <v/>
      </c>
    </row>
    <row r="441">
      <c r="A441" s="18" t="str">
        <f>'Cashflow Schedule'!B441</f>
        <v/>
      </c>
      <c r="B441" s="18" t="str">
        <f>'Cashflow Schedule'!E441</f>
        <v/>
      </c>
      <c r="C441" s="22" t="str">
        <f>IF(A441="","",Inputs!$C$6*EXP((Inputs!$C$8-Inputs!$C$7)*A441))</f>
        <v/>
      </c>
      <c r="D441" s="22" t="str">
        <f t="shared" si="1"/>
        <v/>
      </c>
      <c r="E441" s="21" t="str">
        <f>IF(A441="","",EXP(-Inputs!$C$8*A441))</f>
        <v/>
      </c>
      <c r="F441" s="22" t="str">
        <f t="shared" si="2"/>
        <v/>
      </c>
    </row>
    <row r="442">
      <c r="A442" s="18" t="str">
        <f>'Cashflow Schedule'!B442</f>
        <v/>
      </c>
      <c r="B442" s="18" t="str">
        <f>'Cashflow Schedule'!E442</f>
        <v/>
      </c>
      <c r="C442" s="22" t="str">
        <f>IF(A442="","",Inputs!$C$6*EXP((Inputs!$C$8-Inputs!$C$7)*A442))</f>
        <v/>
      </c>
      <c r="D442" s="22" t="str">
        <f t="shared" si="1"/>
        <v/>
      </c>
      <c r="E442" s="21" t="str">
        <f>IF(A442="","",EXP(-Inputs!$C$8*A442))</f>
        <v/>
      </c>
      <c r="F442" s="22" t="str">
        <f t="shared" si="2"/>
        <v/>
      </c>
    </row>
    <row r="443">
      <c r="A443" s="18" t="str">
        <f>'Cashflow Schedule'!B443</f>
        <v/>
      </c>
      <c r="B443" s="18" t="str">
        <f>'Cashflow Schedule'!E443</f>
        <v/>
      </c>
      <c r="C443" s="22" t="str">
        <f>IF(A443="","",Inputs!$C$6*EXP((Inputs!$C$8-Inputs!$C$7)*A443))</f>
        <v/>
      </c>
      <c r="D443" s="22" t="str">
        <f t="shared" si="1"/>
        <v/>
      </c>
      <c r="E443" s="21" t="str">
        <f>IF(A443="","",EXP(-Inputs!$C$8*A443))</f>
        <v/>
      </c>
      <c r="F443" s="22" t="str">
        <f t="shared" si="2"/>
        <v/>
      </c>
    </row>
    <row r="444">
      <c r="A444" s="18" t="str">
        <f>'Cashflow Schedule'!B444</f>
        <v/>
      </c>
      <c r="B444" s="18" t="str">
        <f>'Cashflow Schedule'!E444</f>
        <v/>
      </c>
      <c r="C444" s="22" t="str">
        <f>IF(A444="","",Inputs!$C$6*EXP((Inputs!$C$8-Inputs!$C$7)*A444))</f>
        <v/>
      </c>
      <c r="D444" s="22" t="str">
        <f t="shared" si="1"/>
        <v/>
      </c>
      <c r="E444" s="21" t="str">
        <f>IF(A444="","",EXP(-Inputs!$C$8*A444))</f>
        <v/>
      </c>
      <c r="F444" s="22" t="str">
        <f t="shared" si="2"/>
        <v/>
      </c>
    </row>
    <row r="445">
      <c r="A445" s="18" t="str">
        <f>'Cashflow Schedule'!B445</f>
        <v/>
      </c>
      <c r="B445" s="18" t="str">
        <f>'Cashflow Schedule'!E445</f>
        <v/>
      </c>
      <c r="C445" s="22" t="str">
        <f>IF(A445="","",Inputs!$C$6*EXP((Inputs!$C$8-Inputs!$C$7)*A445))</f>
        <v/>
      </c>
      <c r="D445" s="22" t="str">
        <f t="shared" si="1"/>
        <v/>
      </c>
      <c r="E445" s="21" t="str">
        <f>IF(A445="","",EXP(-Inputs!$C$8*A445))</f>
        <v/>
      </c>
      <c r="F445" s="22" t="str">
        <f t="shared" si="2"/>
        <v/>
      </c>
    </row>
    <row r="446">
      <c r="A446" s="18" t="str">
        <f>'Cashflow Schedule'!B446</f>
        <v/>
      </c>
      <c r="B446" s="18" t="str">
        <f>'Cashflow Schedule'!E446</f>
        <v/>
      </c>
      <c r="C446" s="22" t="str">
        <f>IF(A446="","",Inputs!$C$6*EXP((Inputs!$C$8-Inputs!$C$7)*A446))</f>
        <v/>
      </c>
      <c r="D446" s="22" t="str">
        <f t="shared" si="1"/>
        <v/>
      </c>
      <c r="E446" s="21" t="str">
        <f>IF(A446="","",EXP(-Inputs!$C$8*A446))</f>
        <v/>
      </c>
      <c r="F446" s="22" t="str">
        <f t="shared" si="2"/>
        <v/>
      </c>
    </row>
    <row r="447">
      <c r="A447" s="18" t="str">
        <f>'Cashflow Schedule'!B447</f>
        <v/>
      </c>
      <c r="B447" s="18" t="str">
        <f>'Cashflow Schedule'!E447</f>
        <v/>
      </c>
      <c r="C447" s="22" t="str">
        <f>IF(A447="","",Inputs!$C$6*EXP((Inputs!$C$8-Inputs!$C$7)*A447))</f>
        <v/>
      </c>
      <c r="D447" s="22" t="str">
        <f t="shared" si="1"/>
        <v/>
      </c>
      <c r="E447" s="21" t="str">
        <f>IF(A447="","",EXP(-Inputs!$C$8*A447))</f>
        <v/>
      </c>
      <c r="F447" s="22" t="str">
        <f t="shared" si="2"/>
        <v/>
      </c>
    </row>
    <row r="448">
      <c r="A448" s="18" t="str">
        <f>'Cashflow Schedule'!B448</f>
        <v/>
      </c>
      <c r="B448" s="18" t="str">
        <f>'Cashflow Schedule'!E448</f>
        <v/>
      </c>
      <c r="C448" s="22" t="str">
        <f>IF(A448="","",Inputs!$C$6*EXP((Inputs!$C$8-Inputs!$C$7)*A448))</f>
        <v/>
      </c>
      <c r="D448" s="22" t="str">
        <f t="shared" si="1"/>
        <v/>
      </c>
      <c r="E448" s="21" t="str">
        <f>IF(A448="","",EXP(-Inputs!$C$8*A448))</f>
        <v/>
      </c>
      <c r="F448" s="22" t="str">
        <f t="shared" si="2"/>
        <v/>
      </c>
    </row>
    <row r="449">
      <c r="A449" s="18" t="str">
        <f>'Cashflow Schedule'!B449</f>
        <v/>
      </c>
      <c r="B449" s="18" t="str">
        <f>'Cashflow Schedule'!E449</f>
        <v/>
      </c>
      <c r="C449" s="22" t="str">
        <f>IF(A449="","",Inputs!$C$6*EXP((Inputs!$C$8-Inputs!$C$7)*A449))</f>
        <v/>
      </c>
      <c r="D449" s="22" t="str">
        <f t="shared" si="1"/>
        <v/>
      </c>
      <c r="E449" s="21" t="str">
        <f>IF(A449="","",EXP(-Inputs!$C$8*A449))</f>
        <v/>
      </c>
      <c r="F449" s="22" t="str">
        <f t="shared" si="2"/>
        <v/>
      </c>
    </row>
    <row r="450">
      <c r="A450" s="18" t="str">
        <f>'Cashflow Schedule'!B450</f>
        <v/>
      </c>
      <c r="B450" s="18" t="str">
        <f>'Cashflow Schedule'!E450</f>
        <v/>
      </c>
      <c r="C450" s="22" t="str">
        <f>IF(A450="","",Inputs!$C$6*EXP((Inputs!$C$8-Inputs!$C$7)*A450))</f>
        <v/>
      </c>
      <c r="D450" s="22" t="str">
        <f t="shared" si="1"/>
        <v/>
      </c>
      <c r="E450" s="21" t="str">
        <f>IF(A450="","",EXP(-Inputs!$C$8*A450))</f>
        <v/>
      </c>
      <c r="F450" s="22" t="str">
        <f t="shared" si="2"/>
        <v/>
      </c>
    </row>
    <row r="451">
      <c r="A451" s="18" t="str">
        <f>'Cashflow Schedule'!B451</f>
        <v/>
      </c>
      <c r="B451" s="18" t="str">
        <f>'Cashflow Schedule'!E451</f>
        <v/>
      </c>
      <c r="C451" s="22" t="str">
        <f>IF(A451="","",Inputs!$C$6*EXP((Inputs!$C$8-Inputs!$C$7)*A451))</f>
        <v/>
      </c>
      <c r="D451" s="22" t="str">
        <f t="shared" si="1"/>
        <v/>
      </c>
      <c r="E451" s="21" t="str">
        <f>IF(A451="","",EXP(-Inputs!$C$8*A451))</f>
        <v/>
      </c>
      <c r="F451" s="22" t="str">
        <f t="shared" si="2"/>
        <v/>
      </c>
    </row>
    <row r="452">
      <c r="A452" s="18" t="str">
        <f>'Cashflow Schedule'!B452</f>
        <v/>
      </c>
      <c r="B452" s="18" t="str">
        <f>'Cashflow Schedule'!E452</f>
        <v/>
      </c>
      <c r="C452" s="22" t="str">
        <f>IF(A452="","",Inputs!$C$6*EXP((Inputs!$C$8-Inputs!$C$7)*A452))</f>
        <v/>
      </c>
      <c r="D452" s="22" t="str">
        <f t="shared" si="1"/>
        <v/>
      </c>
      <c r="E452" s="21" t="str">
        <f>IF(A452="","",EXP(-Inputs!$C$8*A452))</f>
        <v/>
      </c>
      <c r="F452" s="22" t="str">
        <f t="shared" si="2"/>
        <v/>
      </c>
    </row>
    <row r="453">
      <c r="A453" s="18" t="str">
        <f>'Cashflow Schedule'!B453</f>
        <v/>
      </c>
      <c r="B453" s="18" t="str">
        <f>'Cashflow Schedule'!E453</f>
        <v/>
      </c>
      <c r="C453" s="22" t="str">
        <f>IF(A453="","",Inputs!$C$6*EXP((Inputs!$C$8-Inputs!$C$7)*A453))</f>
        <v/>
      </c>
      <c r="D453" s="22" t="str">
        <f t="shared" si="1"/>
        <v/>
      </c>
      <c r="E453" s="21" t="str">
        <f>IF(A453="","",EXP(-Inputs!$C$8*A453))</f>
        <v/>
      </c>
      <c r="F453" s="22" t="str">
        <f t="shared" si="2"/>
        <v/>
      </c>
    </row>
    <row r="454">
      <c r="A454" s="18" t="str">
        <f>'Cashflow Schedule'!B454</f>
        <v/>
      </c>
      <c r="B454" s="18" t="str">
        <f>'Cashflow Schedule'!E454</f>
        <v/>
      </c>
      <c r="C454" s="22" t="str">
        <f>IF(A454="","",Inputs!$C$6*EXP((Inputs!$C$8-Inputs!$C$7)*A454))</f>
        <v/>
      </c>
      <c r="D454" s="22" t="str">
        <f t="shared" si="1"/>
        <v/>
      </c>
      <c r="E454" s="21" t="str">
        <f>IF(A454="","",EXP(-Inputs!$C$8*A454))</f>
        <v/>
      </c>
      <c r="F454" s="22" t="str">
        <f t="shared" si="2"/>
        <v/>
      </c>
    </row>
    <row r="455">
      <c r="A455" s="18" t="str">
        <f>'Cashflow Schedule'!B455</f>
        <v/>
      </c>
      <c r="B455" s="18" t="str">
        <f>'Cashflow Schedule'!E455</f>
        <v/>
      </c>
      <c r="C455" s="22" t="str">
        <f>IF(A455="","",Inputs!$C$6*EXP((Inputs!$C$8-Inputs!$C$7)*A455))</f>
        <v/>
      </c>
      <c r="D455" s="22" t="str">
        <f t="shared" si="1"/>
        <v/>
      </c>
      <c r="E455" s="21" t="str">
        <f>IF(A455="","",EXP(-Inputs!$C$8*A455))</f>
        <v/>
      </c>
      <c r="F455" s="22" t="str">
        <f t="shared" si="2"/>
        <v/>
      </c>
    </row>
    <row r="456">
      <c r="A456" s="18" t="str">
        <f>'Cashflow Schedule'!B456</f>
        <v/>
      </c>
      <c r="B456" s="18" t="str">
        <f>'Cashflow Schedule'!E456</f>
        <v/>
      </c>
      <c r="C456" s="22" t="str">
        <f>IF(A456="","",Inputs!$C$6*EXP((Inputs!$C$8-Inputs!$C$7)*A456))</f>
        <v/>
      </c>
      <c r="D456" s="22" t="str">
        <f t="shared" si="1"/>
        <v/>
      </c>
      <c r="E456" s="21" t="str">
        <f>IF(A456="","",EXP(-Inputs!$C$8*A456))</f>
        <v/>
      </c>
      <c r="F456" s="22" t="str">
        <f t="shared" si="2"/>
        <v/>
      </c>
    </row>
    <row r="457">
      <c r="A457" s="18" t="str">
        <f>'Cashflow Schedule'!B457</f>
        <v/>
      </c>
      <c r="B457" s="18" t="str">
        <f>'Cashflow Schedule'!E457</f>
        <v/>
      </c>
      <c r="C457" s="22" t="str">
        <f>IF(A457="","",Inputs!$C$6*EXP((Inputs!$C$8-Inputs!$C$7)*A457))</f>
        <v/>
      </c>
      <c r="D457" s="22" t="str">
        <f t="shared" si="1"/>
        <v/>
      </c>
      <c r="E457" s="21" t="str">
        <f>IF(A457="","",EXP(-Inputs!$C$8*A457))</f>
        <v/>
      </c>
      <c r="F457" s="22" t="str">
        <f t="shared" si="2"/>
        <v/>
      </c>
    </row>
    <row r="458">
      <c r="A458" s="18" t="str">
        <f>'Cashflow Schedule'!B458</f>
        <v/>
      </c>
      <c r="B458" s="18" t="str">
        <f>'Cashflow Schedule'!E458</f>
        <v/>
      </c>
      <c r="C458" s="22" t="str">
        <f>IF(A458="","",Inputs!$C$6*EXP((Inputs!$C$8-Inputs!$C$7)*A458))</f>
        <v/>
      </c>
      <c r="D458" s="22" t="str">
        <f t="shared" si="1"/>
        <v/>
      </c>
      <c r="E458" s="21" t="str">
        <f>IF(A458="","",EXP(-Inputs!$C$8*A458))</f>
        <v/>
      </c>
      <c r="F458" s="22" t="str">
        <f t="shared" si="2"/>
        <v/>
      </c>
    </row>
    <row r="459">
      <c r="A459" s="18" t="str">
        <f>'Cashflow Schedule'!B459</f>
        <v/>
      </c>
      <c r="B459" s="18" t="str">
        <f>'Cashflow Schedule'!E459</f>
        <v/>
      </c>
      <c r="C459" s="22" t="str">
        <f>IF(A459="","",Inputs!$C$6*EXP((Inputs!$C$8-Inputs!$C$7)*A459))</f>
        <v/>
      </c>
      <c r="D459" s="22" t="str">
        <f t="shared" si="1"/>
        <v/>
      </c>
      <c r="E459" s="21" t="str">
        <f>IF(A459="","",EXP(-Inputs!$C$8*A459))</f>
        <v/>
      </c>
      <c r="F459" s="22" t="str">
        <f t="shared" si="2"/>
        <v/>
      </c>
    </row>
    <row r="460">
      <c r="A460" s="18" t="str">
        <f>'Cashflow Schedule'!B460</f>
        <v/>
      </c>
      <c r="B460" s="18" t="str">
        <f>'Cashflow Schedule'!E460</f>
        <v/>
      </c>
      <c r="C460" s="22" t="str">
        <f>IF(A460="","",Inputs!$C$6*EXP((Inputs!$C$8-Inputs!$C$7)*A460))</f>
        <v/>
      </c>
      <c r="D460" s="22" t="str">
        <f t="shared" si="1"/>
        <v/>
      </c>
      <c r="E460" s="21" t="str">
        <f>IF(A460="","",EXP(-Inputs!$C$8*A460))</f>
        <v/>
      </c>
      <c r="F460" s="22" t="str">
        <f t="shared" si="2"/>
        <v/>
      </c>
    </row>
    <row r="461">
      <c r="A461" s="18" t="str">
        <f>'Cashflow Schedule'!B461</f>
        <v/>
      </c>
      <c r="B461" s="18" t="str">
        <f>'Cashflow Schedule'!E461</f>
        <v/>
      </c>
      <c r="C461" s="22" t="str">
        <f>IF(A461="","",Inputs!$C$6*EXP((Inputs!$C$8-Inputs!$C$7)*A461))</f>
        <v/>
      </c>
      <c r="D461" s="22" t="str">
        <f t="shared" si="1"/>
        <v/>
      </c>
      <c r="E461" s="21" t="str">
        <f>IF(A461="","",EXP(-Inputs!$C$8*A461))</f>
        <v/>
      </c>
      <c r="F461" s="22" t="str">
        <f t="shared" si="2"/>
        <v/>
      </c>
    </row>
    <row r="462">
      <c r="A462" s="18" t="str">
        <f>'Cashflow Schedule'!B462</f>
        <v/>
      </c>
      <c r="B462" s="18" t="str">
        <f>'Cashflow Schedule'!E462</f>
        <v/>
      </c>
      <c r="C462" s="22" t="str">
        <f>IF(A462="","",Inputs!$C$6*EXP((Inputs!$C$8-Inputs!$C$7)*A462))</f>
        <v/>
      </c>
      <c r="D462" s="22" t="str">
        <f t="shared" si="1"/>
        <v/>
      </c>
      <c r="E462" s="21" t="str">
        <f>IF(A462="","",EXP(-Inputs!$C$8*A462))</f>
        <v/>
      </c>
      <c r="F462" s="22" t="str">
        <f t="shared" si="2"/>
        <v/>
      </c>
    </row>
    <row r="463">
      <c r="A463" s="18" t="str">
        <f>'Cashflow Schedule'!B463</f>
        <v/>
      </c>
      <c r="B463" s="18" t="str">
        <f>'Cashflow Schedule'!E463</f>
        <v/>
      </c>
      <c r="C463" s="22" t="str">
        <f>IF(A463="","",Inputs!$C$6*EXP((Inputs!$C$8-Inputs!$C$7)*A463))</f>
        <v/>
      </c>
      <c r="D463" s="22" t="str">
        <f t="shared" si="1"/>
        <v/>
      </c>
      <c r="E463" s="21" t="str">
        <f>IF(A463="","",EXP(-Inputs!$C$8*A463))</f>
        <v/>
      </c>
      <c r="F463" s="22" t="str">
        <f t="shared" si="2"/>
        <v/>
      </c>
    </row>
    <row r="464">
      <c r="A464" s="18" t="str">
        <f>'Cashflow Schedule'!B464</f>
        <v/>
      </c>
      <c r="B464" s="18" t="str">
        <f>'Cashflow Schedule'!E464</f>
        <v/>
      </c>
      <c r="C464" s="22" t="str">
        <f>IF(A464="","",Inputs!$C$6*EXP((Inputs!$C$8-Inputs!$C$7)*A464))</f>
        <v/>
      </c>
      <c r="D464" s="22" t="str">
        <f t="shared" si="1"/>
        <v/>
      </c>
      <c r="E464" s="21" t="str">
        <f>IF(A464="","",EXP(-Inputs!$C$8*A464))</f>
        <v/>
      </c>
      <c r="F464" s="22" t="str">
        <f t="shared" si="2"/>
        <v/>
      </c>
    </row>
    <row r="465">
      <c r="A465" s="18" t="str">
        <f>'Cashflow Schedule'!B465</f>
        <v/>
      </c>
      <c r="B465" s="18" t="str">
        <f>'Cashflow Schedule'!E465</f>
        <v/>
      </c>
      <c r="C465" s="22" t="str">
        <f>IF(A465="","",Inputs!$C$6*EXP((Inputs!$C$8-Inputs!$C$7)*A465))</f>
        <v/>
      </c>
      <c r="D465" s="22" t="str">
        <f t="shared" si="1"/>
        <v/>
      </c>
      <c r="E465" s="21" t="str">
        <f>IF(A465="","",EXP(-Inputs!$C$8*A465))</f>
        <v/>
      </c>
      <c r="F465" s="22" t="str">
        <f t="shared" si="2"/>
        <v/>
      </c>
    </row>
    <row r="466">
      <c r="A466" s="18" t="str">
        <f>'Cashflow Schedule'!B466</f>
        <v/>
      </c>
      <c r="B466" s="18" t="str">
        <f>'Cashflow Schedule'!E466</f>
        <v/>
      </c>
      <c r="C466" s="22" t="str">
        <f>IF(A466="","",Inputs!$C$6*EXP((Inputs!$C$8-Inputs!$C$7)*A466))</f>
        <v/>
      </c>
      <c r="D466" s="22" t="str">
        <f t="shared" si="1"/>
        <v/>
      </c>
      <c r="E466" s="21" t="str">
        <f>IF(A466="","",EXP(-Inputs!$C$8*A466))</f>
        <v/>
      </c>
      <c r="F466" s="22" t="str">
        <f t="shared" si="2"/>
        <v/>
      </c>
    </row>
    <row r="467">
      <c r="A467" s="18" t="str">
        <f>'Cashflow Schedule'!B467</f>
        <v/>
      </c>
      <c r="B467" s="18" t="str">
        <f>'Cashflow Schedule'!E467</f>
        <v/>
      </c>
      <c r="C467" s="22" t="str">
        <f>IF(A467="","",Inputs!$C$6*EXP((Inputs!$C$8-Inputs!$C$7)*A467))</f>
        <v/>
      </c>
      <c r="D467" s="22" t="str">
        <f t="shared" si="1"/>
        <v/>
      </c>
      <c r="E467" s="21" t="str">
        <f>IF(A467="","",EXP(-Inputs!$C$8*A467))</f>
        <v/>
      </c>
      <c r="F467" s="22" t="str">
        <f t="shared" si="2"/>
        <v/>
      </c>
    </row>
    <row r="468">
      <c r="A468" s="18" t="str">
        <f>'Cashflow Schedule'!B468</f>
        <v/>
      </c>
      <c r="B468" s="18" t="str">
        <f>'Cashflow Schedule'!E468</f>
        <v/>
      </c>
      <c r="C468" s="22" t="str">
        <f>IF(A468="","",Inputs!$C$6*EXP((Inputs!$C$8-Inputs!$C$7)*A468))</f>
        <v/>
      </c>
      <c r="D468" s="22" t="str">
        <f t="shared" si="1"/>
        <v/>
      </c>
      <c r="E468" s="21" t="str">
        <f>IF(A468="","",EXP(-Inputs!$C$8*A468))</f>
        <v/>
      </c>
      <c r="F468" s="22" t="str">
        <f t="shared" si="2"/>
        <v/>
      </c>
    </row>
    <row r="469">
      <c r="A469" s="18" t="str">
        <f>'Cashflow Schedule'!B469</f>
        <v/>
      </c>
      <c r="B469" s="18" t="str">
        <f>'Cashflow Schedule'!E469</f>
        <v/>
      </c>
      <c r="C469" s="22" t="str">
        <f>IF(A469="","",Inputs!$C$6*EXP((Inputs!$C$8-Inputs!$C$7)*A469))</f>
        <v/>
      </c>
      <c r="D469" s="22" t="str">
        <f t="shared" si="1"/>
        <v/>
      </c>
      <c r="E469" s="21" t="str">
        <f>IF(A469="","",EXP(-Inputs!$C$8*A469))</f>
        <v/>
      </c>
      <c r="F469" s="22" t="str">
        <f t="shared" si="2"/>
        <v/>
      </c>
    </row>
    <row r="470">
      <c r="A470" s="18" t="str">
        <f>'Cashflow Schedule'!B470</f>
        <v/>
      </c>
      <c r="B470" s="18" t="str">
        <f>'Cashflow Schedule'!E470</f>
        <v/>
      </c>
      <c r="C470" s="22" t="str">
        <f>IF(A470="","",Inputs!$C$6*EXP((Inputs!$C$8-Inputs!$C$7)*A470))</f>
        <v/>
      </c>
      <c r="D470" s="22" t="str">
        <f t="shared" si="1"/>
        <v/>
      </c>
      <c r="E470" s="21" t="str">
        <f>IF(A470="","",EXP(-Inputs!$C$8*A470))</f>
        <v/>
      </c>
      <c r="F470" s="22" t="str">
        <f t="shared" si="2"/>
        <v/>
      </c>
    </row>
    <row r="471">
      <c r="A471" s="18" t="str">
        <f>'Cashflow Schedule'!B471</f>
        <v/>
      </c>
      <c r="B471" s="18" t="str">
        <f>'Cashflow Schedule'!E471</f>
        <v/>
      </c>
      <c r="C471" s="22" t="str">
        <f>IF(A471="","",Inputs!$C$6*EXP((Inputs!$C$8-Inputs!$C$7)*A471))</f>
        <v/>
      </c>
      <c r="D471" s="22" t="str">
        <f t="shared" si="1"/>
        <v/>
      </c>
      <c r="E471" s="21" t="str">
        <f>IF(A471="","",EXP(-Inputs!$C$8*A471))</f>
        <v/>
      </c>
      <c r="F471" s="22" t="str">
        <f t="shared" si="2"/>
        <v/>
      </c>
    </row>
    <row r="472">
      <c r="A472" s="18" t="str">
        <f>'Cashflow Schedule'!B472</f>
        <v/>
      </c>
      <c r="B472" s="18" t="str">
        <f>'Cashflow Schedule'!E472</f>
        <v/>
      </c>
      <c r="C472" s="22" t="str">
        <f>IF(A472="","",Inputs!$C$6*EXP((Inputs!$C$8-Inputs!$C$7)*A472))</f>
        <v/>
      </c>
      <c r="D472" s="22" t="str">
        <f t="shared" si="1"/>
        <v/>
      </c>
      <c r="E472" s="21" t="str">
        <f>IF(A472="","",EXP(-Inputs!$C$8*A472))</f>
        <v/>
      </c>
      <c r="F472" s="22" t="str">
        <f t="shared" si="2"/>
        <v/>
      </c>
    </row>
    <row r="473">
      <c r="A473" s="18" t="str">
        <f>'Cashflow Schedule'!B473</f>
        <v/>
      </c>
      <c r="B473" s="18" t="str">
        <f>'Cashflow Schedule'!E473</f>
        <v/>
      </c>
      <c r="C473" s="22" t="str">
        <f>IF(A473="","",Inputs!$C$6*EXP((Inputs!$C$8-Inputs!$C$7)*A473))</f>
        <v/>
      </c>
      <c r="D473" s="22" t="str">
        <f t="shared" si="1"/>
        <v/>
      </c>
      <c r="E473" s="21" t="str">
        <f>IF(A473="","",EXP(-Inputs!$C$8*A473))</f>
        <v/>
      </c>
      <c r="F473" s="22" t="str">
        <f t="shared" si="2"/>
        <v/>
      </c>
    </row>
    <row r="474">
      <c r="A474" s="18" t="str">
        <f>'Cashflow Schedule'!B474</f>
        <v/>
      </c>
      <c r="B474" s="18" t="str">
        <f>'Cashflow Schedule'!E474</f>
        <v/>
      </c>
      <c r="C474" s="22" t="str">
        <f>IF(A474="","",Inputs!$C$6*EXP((Inputs!$C$8-Inputs!$C$7)*A474))</f>
        <v/>
      </c>
      <c r="D474" s="22" t="str">
        <f t="shared" si="1"/>
        <v/>
      </c>
      <c r="E474" s="21" t="str">
        <f>IF(A474="","",EXP(-Inputs!$C$8*A474))</f>
        <v/>
      </c>
      <c r="F474" s="22" t="str">
        <f t="shared" si="2"/>
        <v/>
      </c>
    </row>
    <row r="475">
      <c r="A475" s="18" t="str">
        <f>'Cashflow Schedule'!B475</f>
        <v/>
      </c>
      <c r="B475" s="18" t="str">
        <f>'Cashflow Schedule'!E475</f>
        <v/>
      </c>
      <c r="C475" s="22" t="str">
        <f>IF(A475="","",Inputs!$C$6*EXP((Inputs!$C$8-Inputs!$C$7)*A475))</f>
        <v/>
      </c>
      <c r="D475" s="22" t="str">
        <f t="shared" si="1"/>
        <v/>
      </c>
      <c r="E475" s="21" t="str">
        <f>IF(A475="","",EXP(-Inputs!$C$8*A475))</f>
        <v/>
      </c>
      <c r="F475" s="22" t="str">
        <f t="shared" si="2"/>
        <v/>
      </c>
    </row>
    <row r="476">
      <c r="A476" s="18" t="str">
        <f>'Cashflow Schedule'!B476</f>
        <v/>
      </c>
      <c r="B476" s="18" t="str">
        <f>'Cashflow Schedule'!E476</f>
        <v/>
      </c>
      <c r="C476" s="22" t="str">
        <f>IF(A476="","",Inputs!$C$6*EXP((Inputs!$C$8-Inputs!$C$7)*A476))</f>
        <v/>
      </c>
      <c r="D476" s="22" t="str">
        <f t="shared" si="1"/>
        <v/>
      </c>
      <c r="E476" s="21" t="str">
        <f>IF(A476="","",EXP(-Inputs!$C$8*A476))</f>
        <v/>
      </c>
      <c r="F476" s="22" t="str">
        <f t="shared" si="2"/>
        <v/>
      </c>
    </row>
    <row r="477">
      <c r="A477" s="18" t="str">
        <f>'Cashflow Schedule'!B477</f>
        <v/>
      </c>
      <c r="B477" s="18" t="str">
        <f>'Cashflow Schedule'!E477</f>
        <v/>
      </c>
      <c r="C477" s="22" t="str">
        <f>IF(A477="","",Inputs!$C$6*EXP((Inputs!$C$8-Inputs!$C$7)*A477))</f>
        <v/>
      </c>
      <c r="D477" s="22" t="str">
        <f t="shared" si="1"/>
        <v/>
      </c>
      <c r="E477" s="21" t="str">
        <f>IF(A477="","",EXP(-Inputs!$C$8*A477))</f>
        <v/>
      </c>
      <c r="F477" s="22" t="str">
        <f t="shared" si="2"/>
        <v/>
      </c>
    </row>
    <row r="478">
      <c r="A478" s="18" t="str">
        <f>'Cashflow Schedule'!B478</f>
        <v/>
      </c>
      <c r="B478" s="18" t="str">
        <f>'Cashflow Schedule'!E478</f>
        <v/>
      </c>
      <c r="C478" s="22" t="str">
        <f>IF(A478="","",Inputs!$C$6*EXP((Inputs!$C$8-Inputs!$C$7)*A478))</f>
        <v/>
      </c>
      <c r="D478" s="22" t="str">
        <f t="shared" si="1"/>
        <v/>
      </c>
      <c r="E478" s="21" t="str">
        <f>IF(A478="","",EXP(-Inputs!$C$8*A478))</f>
        <v/>
      </c>
      <c r="F478" s="22" t="str">
        <f t="shared" si="2"/>
        <v/>
      </c>
    </row>
    <row r="479">
      <c r="A479" s="18" t="str">
        <f>'Cashflow Schedule'!B479</f>
        <v/>
      </c>
      <c r="B479" s="18" t="str">
        <f>'Cashflow Schedule'!E479</f>
        <v/>
      </c>
      <c r="C479" s="22" t="str">
        <f>IF(A479="","",Inputs!$C$6*EXP((Inputs!$C$8-Inputs!$C$7)*A479))</f>
        <v/>
      </c>
      <c r="D479" s="22" t="str">
        <f t="shared" si="1"/>
        <v/>
      </c>
      <c r="E479" s="21" t="str">
        <f>IF(A479="","",EXP(-Inputs!$C$8*A479))</f>
        <v/>
      </c>
      <c r="F479" s="22" t="str">
        <f t="shared" si="2"/>
        <v/>
      </c>
    </row>
    <row r="480">
      <c r="A480" s="18" t="str">
        <f>'Cashflow Schedule'!B480</f>
        <v/>
      </c>
      <c r="B480" s="18" t="str">
        <f>'Cashflow Schedule'!E480</f>
        <v/>
      </c>
      <c r="C480" s="22" t="str">
        <f>IF(A480="","",Inputs!$C$6*EXP((Inputs!$C$8-Inputs!$C$7)*A480))</f>
        <v/>
      </c>
      <c r="D480" s="22" t="str">
        <f t="shared" si="1"/>
        <v/>
      </c>
      <c r="E480" s="21" t="str">
        <f>IF(A480="","",EXP(-Inputs!$C$8*A480))</f>
        <v/>
      </c>
      <c r="F480" s="22" t="str">
        <f t="shared" si="2"/>
        <v/>
      </c>
    </row>
    <row r="481">
      <c r="A481" s="18" t="str">
        <f>'Cashflow Schedule'!B481</f>
        <v/>
      </c>
      <c r="B481" s="18" t="str">
        <f>'Cashflow Schedule'!E481</f>
        <v/>
      </c>
      <c r="C481" s="22" t="str">
        <f>IF(A481="","",Inputs!$C$6*EXP((Inputs!$C$8-Inputs!$C$7)*A481))</f>
        <v/>
      </c>
      <c r="D481" s="22" t="str">
        <f t="shared" si="1"/>
        <v/>
      </c>
      <c r="E481" s="21" t="str">
        <f>IF(A481="","",EXP(-Inputs!$C$8*A481))</f>
        <v/>
      </c>
      <c r="F481" s="22" t="str">
        <f t="shared" si="2"/>
        <v/>
      </c>
    </row>
    <row r="482">
      <c r="A482" s="18" t="str">
        <f>'Cashflow Schedule'!B482</f>
        <v/>
      </c>
      <c r="B482" s="18" t="str">
        <f>'Cashflow Schedule'!E482</f>
        <v/>
      </c>
      <c r="C482" s="22" t="str">
        <f>IF(A482="","",Inputs!$C$6*EXP((Inputs!$C$8-Inputs!$C$7)*A482))</f>
        <v/>
      </c>
      <c r="D482" s="22" t="str">
        <f t="shared" si="1"/>
        <v/>
      </c>
      <c r="E482" s="21" t="str">
        <f>IF(A482="","",EXP(-Inputs!$C$8*A482))</f>
        <v/>
      </c>
      <c r="F482" s="22" t="str">
        <f t="shared" si="2"/>
        <v/>
      </c>
    </row>
    <row r="483">
      <c r="A483" s="18" t="str">
        <f>'Cashflow Schedule'!B483</f>
        <v/>
      </c>
      <c r="B483" s="18" t="str">
        <f>'Cashflow Schedule'!E483</f>
        <v/>
      </c>
      <c r="C483" s="22" t="str">
        <f>IF(A483="","",Inputs!$C$6*EXP((Inputs!$C$8-Inputs!$C$7)*A483))</f>
        <v/>
      </c>
      <c r="D483" s="22" t="str">
        <f t="shared" si="1"/>
        <v/>
      </c>
      <c r="E483" s="21" t="str">
        <f>IF(A483="","",EXP(-Inputs!$C$8*A483))</f>
        <v/>
      </c>
      <c r="F483" s="22" t="str">
        <f t="shared" si="2"/>
        <v/>
      </c>
    </row>
    <row r="484">
      <c r="A484" s="18" t="str">
        <f>'Cashflow Schedule'!B484</f>
        <v/>
      </c>
      <c r="B484" s="18" t="str">
        <f>'Cashflow Schedule'!E484</f>
        <v/>
      </c>
      <c r="C484" s="22" t="str">
        <f>IF(A484="","",Inputs!$C$6*EXP((Inputs!$C$8-Inputs!$C$7)*A484))</f>
        <v/>
      </c>
      <c r="D484" s="22" t="str">
        <f t="shared" si="1"/>
        <v/>
      </c>
      <c r="E484" s="21" t="str">
        <f>IF(A484="","",EXP(-Inputs!$C$8*A484))</f>
        <v/>
      </c>
      <c r="F484" s="22" t="str">
        <f t="shared" si="2"/>
        <v/>
      </c>
    </row>
    <row r="485">
      <c r="A485" s="18" t="str">
        <f>'Cashflow Schedule'!B485</f>
        <v/>
      </c>
      <c r="B485" s="18" t="str">
        <f>'Cashflow Schedule'!E485</f>
        <v/>
      </c>
      <c r="C485" s="22" t="str">
        <f>IF(A485="","",Inputs!$C$6*EXP((Inputs!$C$8-Inputs!$C$7)*A485))</f>
        <v/>
      </c>
      <c r="D485" s="22" t="str">
        <f t="shared" si="1"/>
        <v/>
      </c>
      <c r="E485" s="21" t="str">
        <f>IF(A485="","",EXP(-Inputs!$C$8*A485))</f>
        <v/>
      </c>
      <c r="F485" s="22" t="str">
        <f t="shared" si="2"/>
        <v/>
      </c>
    </row>
    <row r="486">
      <c r="A486" s="18" t="str">
        <f>'Cashflow Schedule'!B486</f>
        <v/>
      </c>
      <c r="B486" s="18" t="str">
        <f>'Cashflow Schedule'!E486</f>
        <v/>
      </c>
      <c r="C486" s="22" t="str">
        <f>IF(A486="","",Inputs!$C$6*EXP((Inputs!$C$8-Inputs!$C$7)*A486))</f>
        <v/>
      </c>
      <c r="D486" s="22" t="str">
        <f t="shared" si="1"/>
        <v/>
      </c>
      <c r="E486" s="21" t="str">
        <f>IF(A486="","",EXP(-Inputs!$C$8*A486))</f>
        <v/>
      </c>
      <c r="F486" s="22" t="str">
        <f t="shared" si="2"/>
        <v/>
      </c>
    </row>
    <row r="487">
      <c r="A487" s="18" t="str">
        <f>'Cashflow Schedule'!B487</f>
        <v/>
      </c>
      <c r="B487" s="18" t="str">
        <f>'Cashflow Schedule'!E487</f>
        <v/>
      </c>
      <c r="C487" s="22" t="str">
        <f>IF(A487="","",Inputs!$C$6*EXP((Inputs!$C$8-Inputs!$C$7)*A487))</f>
        <v/>
      </c>
      <c r="D487" s="22" t="str">
        <f t="shared" si="1"/>
        <v/>
      </c>
      <c r="E487" s="21" t="str">
        <f>IF(A487="","",EXP(-Inputs!$C$8*A487))</f>
        <v/>
      </c>
      <c r="F487" s="22" t="str">
        <f t="shared" si="2"/>
        <v/>
      </c>
    </row>
    <row r="488">
      <c r="A488" s="18" t="str">
        <f>'Cashflow Schedule'!B488</f>
        <v/>
      </c>
      <c r="B488" s="18" t="str">
        <f>'Cashflow Schedule'!E488</f>
        <v/>
      </c>
      <c r="C488" s="22" t="str">
        <f>IF(A488="","",Inputs!$C$6*EXP((Inputs!$C$8-Inputs!$C$7)*A488))</f>
        <v/>
      </c>
      <c r="D488" s="22" t="str">
        <f t="shared" si="1"/>
        <v/>
      </c>
      <c r="E488" s="21" t="str">
        <f>IF(A488="","",EXP(-Inputs!$C$8*A488))</f>
        <v/>
      </c>
      <c r="F488" s="22" t="str">
        <f t="shared" si="2"/>
        <v/>
      </c>
    </row>
    <row r="489">
      <c r="A489" s="18" t="str">
        <f>'Cashflow Schedule'!B489</f>
        <v/>
      </c>
      <c r="B489" s="18" t="str">
        <f>'Cashflow Schedule'!E489</f>
        <v/>
      </c>
      <c r="C489" s="22" t="str">
        <f>IF(A489="","",Inputs!$C$6*EXP((Inputs!$C$8-Inputs!$C$7)*A489))</f>
        <v/>
      </c>
      <c r="D489" s="22" t="str">
        <f t="shared" si="1"/>
        <v/>
      </c>
      <c r="E489" s="21" t="str">
        <f>IF(A489="","",EXP(-Inputs!$C$8*A489))</f>
        <v/>
      </c>
      <c r="F489" s="22" t="str">
        <f t="shared" si="2"/>
        <v/>
      </c>
    </row>
    <row r="490">
      <c r="A490" s="18" t="str">
        <f>'Cashflow Schedule'!B490</f>
        <v/>
      </c>
      <c r="B490" s="18" t="str">
        <f>'Cashflow Schedule'!E490</f>
        <v/>
      </c>
      <c r="C490" s="22" t="str">
        <f>IF(A490="","",Inputs!$C$6*EXP((Inputs!$C$8-Inputs!$C$7)*A490))</f>
        <v/>
      </c>
      <c r="D490" s="22" t="str">
        <f t="shared" si="1"/>
        <v/>
      </c>
      <c r="E490" s="21" t="str">
        <f>IF(A490="","",EXP(-Inputs!$C$8*A490))</f>
        <v/>
      </c>
      <c r="F490" s="22" t="str">
        <f t="shared" si="2"/>
        <v/>
      </c>
    </row>
    <row r="491">
      <c r="A491" s="18" t="str">
        <f>'Cashflow Schedule'!B491</f>
        <v/>
      </c>
      <c r="B491" s="18" t="str">
        <f>'Cashflow Schedule'!E491</f>
        <v/>
      </c>
      <c r="C491" s="22" t="str">
        <f>IF(A491="","",Inputs!$C$6*EXP((Inputs!$C$8-Inputs!$C$7)*A491))</f>
        <v/>
      </c>
      <c r="D491" s="22" t="str">
        <f t="shared" si="1"/>
        <v/>
      </c>
      <c r="E491" s="21" t="str">
        <f>IF(A491="","",EXP(-Inputs!$C$8*A491))</f>
        <v/>
      </c>
      <c r="F491" s="22" t="str">
        <f t="shared" si="2"/>
        <v/>
      </c>
    </row>
    <row r="492">
      <c r="A492" s="18" t="str">
        <f>'Cashflow Schedule'!B492</f>
        <v/>
      </c>
      <c r="B492" s="18" t="str">
        <f>'Cashflow Schedule'!E492</f>
        <v/>
      </c>
      <c r="C492" s="22" t="str">
        <f>IF(A492="","",Inputs!$C$6*EXP((Inputs!$C$8-Inputs!$C$7)*A492))</f>
        <v/>
      </c>
      <c r="D492" s="22" t="str">
        <f t="shared" si="1"/>
        <v/>
      </c>
      <c r="E492" s="21" t="str">
        <f>IF(A492="","",EXP(-Inputs!$C$8*A492))</f>
        <v/>
      </c>
      <c r="F492" s="22" t="str">
        <f t="shared" si="2"/>
        <v/>
      </c>
    </row>
    <row r="493">
      <c r="A493" s="18" t="str">
        <f>'Cashflow Schedule'!B493</f>
        <v/>
      </c>
      <c r="B493" s="18" t="str">
        <f>'Cashflow Schedule'!E493</f>
        <v/>
      </c>
      <c r="C493" s="22" t="str">
        <f>IF(A493="","",Inputs!$C$6*EXP((Inputs!$C$8-Inputs!$C$7)*A493))</f>
        <v/>
      </c>
      <c r="D493" s="22" t="str">
        <f t="shared" si="1"/>
        <v/>
      </c>
      <c r="E493" s="21" t="str">
        <f>IF(A493="","",EXP(-Inputs!$C$8*A493))</f>
        <v/>
      </c>
      <c r="F493" s="22" t="str">
        <f t="shared" si="2"/>
        <v/>
      </c>
    </row>
    <row r="494">
      <c r="A494" s="18" t="str">
        <f>'Cashflow Schedule'!B494</f>
        <v/>
      </c>
      <c r="B494" s="18" t="str">
        <f>'Cashflow Schedule'!E494</f>
        <v/>
      </c>
      <c r="C494" s="22" t="str">
        <f>IF(A494="","",Inputs!$C$6*EXP((Inputs!$C$8-Inputs!$C$7)*A494))</f>
        <v/>
      </c>
      <c r="D494" s="22" t="str">
        <f t="shared" si="1"/>
        <v/>
      </c>
      <c r="E494" s="21" t="str">
        <f>IF(A494="","",EXP(-Inputs!$C$8*A494))</f>
        <v/>
      </c>
      <c r="F494" s="22" t="str">
        <f t="shared" si="2"/>
        <v/>
      </c>
    </row>
    <row r="495">
      <c r="A495" s="18" t="str">
        <f>'Cashflow Schedule'!B495</f>
        <v/>
      </c>
      <c r="B495" s="18" t="str">
        <f>'Cashflow Schedule'!E495</f>
        <v/>
      </c>
      <c r="C495" s="22" t="str">
        <f>IF(A495="","",Inputs!$C$6*EXP((Inputs!$C$8-Inputs!$C$7)*A495))</f>
        <v/>
      </c>
      <c r="D495" s="22" t="str">
        <f t="shared" si="1"/>
        <v/>
      </c>
      <c r="E495" s="21" t="str">
        <f>IF(A495="","",EXP(-Inputs!$C$8*A495))</f>
        <v/>
      </c>
      <c r="F495" s="22" t="str">
        <f t="shared" si="2"/>
        <v/>
      </c>
    </row>
    <row r="496">
      <c r="A496" s="18" t="str">
        <f>'Cashflow Schedule'!B496</f>
        <v/>
      </c>
      <c r="B496" s="18" t="str">
        <f>'Cashflow Schedule'!E496</f>
        <v/>
      </c>
      <c r="C496" s="22" t="str">
        <f>IF(A496="","",Inputs!$C$6*EXP((Inputs!$C$8-Inputs!$C$7)*A496))</f>
        <v/>
      </c>
      <c r="D496" s="22" t="str">
        <f t="shared" si="1"/>
        <v/>
      </c>
      <c r="E496" s="21" t="str">
        <f>IF(A496="","",EXP(-Inputs!$C$8*A496))</f>
        <v/>
      </c>
      <c r="F496" s="22" t="str">
        <f t="shared" si="2"/>
        <v/>
      </c>
    </row>
    <row r="497">
      <c r="A497" s="18" t="str">
        <f>'Cashflow Schedule'!B497</f>
        <v/>
      </c>
      <c r="B497" s="18" t="str">
        <f>'Cashflow Schedule'!E497</f>
        <v/>
      </c>
      <c r="C497" s="22" t="str">
        <f>IF(A497="","",Inputs!$C$6*EXP((Inputs!$C$8-Inputs!$C$7)*A497))</f>
        <v/>
      </c>
      <c r="D497" s="22" t="str">
        <f t="shared" si="1"/>
        <v/>
      </c>
      <c r="E497" s="21" t="str">
        <f>IF(A497="","",EXP(-Inputs!$C$8*A497))</f>
        <v/>
      </c>
      <c r="F497" s="22" t="str">
        <f t="shared" si="2"/>
        <v/>
      </c>
    </row>
    <row r="498">
      <c r="A498" s="18" t="str">
        <f>'Cashflow Schedule'!B498</f>
        <v/>
      </c>
      <c r="B498" s="18" t="str">
        <f>'Cashflow Schedule'!E498</f>
        <v/>
      </c>
      <c r="C498" s="22" t="str">
        <f>IF(A498="","",Inputs!$C$6*EXP((Inputs!$C$8-Inputs!$C$7)*A498))</f>
        <v/>
      </c>
      <c r="D498" s="22" t="str">
        <f t="shared" si="1"/>
        <v/>
      </c>
      <c r="E498" s="21" t="str">
        <f>IF(A498="","",EXP(-Inputs!$C$8*A498))</f>
        <v/>
      </c>
      <c r="F498" s="22" t="str">
        <f t="shared" si="2"/>
        <v/>
      </c>
    </row>
    <row r="499">
      <c r="A499" s="18" t="str">
        <f>'Cashflow Schedule'!B499</f>
        <v/>
      </c>
      <c r="B499" s="18" t="str">
        <f>'Cashflow Schedule'!E499</f>
        <v/>
      </c>
      <c r="C499" s="22" t="str">
        <f>IF(A499="","",Inputs!$C$6*EXP((Inputs!$C$8-Inputs!$C$7)*A499))</f>
        <v/>
      </c>
      <c r="D499" s="22" t="str">
        <f t="shared" si="1"/>
        <v/>
      </c>
      <c r="E499" s="21" t="str">
        <f>IF(A499="","",EXP(-Inputs!$C$8*A499))</f>
        <v/>
      </c>
      <c r="F499" s="22" t="str">
        <f t="shared" si="2"/>
        <v/>
      </c>
    </row>
    <row r="500">
      <c r="A500" s="18" t="str">
        <f>'Cashflow Schedule'!B500</f>
        <v/>
      </c>
      <c r="B500" s="18" t="str">
        <f>'Cashflow Schedule'!E500</f>
        <v/>
      </c>
      <c r="C500" s="22" t="str">
        <f>IF(A500="","",Inputs!$C$6*EXP((Inputs!$C$8-Inputs!$C$7)*A500))</f>
        <v/>
      </c>
      <c r="D500" s="22" t="str">
        <f t="shared" si="1"/>
        <v/>
      </c>
      <c r="E500" s="21" t="str">
        <f>IF(A500="","",EXP(-Inputs!$C$8*A500))</f>
        <v/>
      </c>
      <c r="F500" s="22" t="str">
        <f t="shared" si="2"/>
        <v/>
      </c>
    </row>
    <row r="501">
      <c r="A501" s="18" t="str">
        <f>'Cashflow Schedule'!B501</f>
        <v/>
      </c>
      <c r="B501" s="18" t="str">
        <f>'Cashflow Schedule'!E501</f>
        <v/>
      </c>
      <c r="C501" s="22" t="str">
        <f>IF(A501="","",Inputs!$C$6*EXP((Inputs!$C$8-Inputs!$C$7)*A501))</f>
        <v/>
      </c>
      <c r="D501" s="22" t="str">
        <f t="shared" si="1"/>
        <v/>
      </c>
      <c r="E501" s="21" t="str">
        <f>IF(A501="","",EXP(-Inputs!$C$8*A501))</f>
        <v/>
      </c>
      <c r="F501" s="22" t="str">
        <f t="shared" si="2"/>
        <v/>
      </c>
    </row>
    <row r="502">
      <c r="A502" s="18" t="str">
        <f>'Cashflow Schedule'!B502</f>
        <v/>
      </c>
      <c r="B502" s="18" t="str">
        <f>'Cashflow Schedule'!E502</f>
        <v/>
      </c>
      <c r="C502" s="22" t="str">
        <f>IF(A502="","",Inputs!$C$6*EXP((Inputs!$C$8-Inputs!$C$7)*A502))</f>
        <v/>
      </c>
      <c r="D502" s="22" t="str">
        <f t="shared" si="1"/>
        <v/>
      </c>
      <c r="E502" s="21" t="str">
        <f>IF(A502="","",EXP(-Inputs!$C$8*A502))</f>
        <v/>
      </c>
      <c r="F502" s="22" t="str">
        <f t="shared" si="2"/>
        <v/>
      </c>
    </row>
    <row r="503">
      <c r="A503" s="18" t="str">
        <f>'Cashflow Schedule'!B503</f>
        <v/>
      </c>
      <c r="B503" s="18" t="str">
        <f>'Cashflow Schedule'!E503</f>
        <v/>
      </c>
      <c r="C503" s="22" t="str">
        <f>IF(A503="","",Inputs!$C$6*EXP((Inputs!$C$8-Inputs!$C$7)*A503))</f>
        <v/>
      </c>
      <c r="D503" s="22" t="str">
        <f t="shared" si="1"/>
        <v/>
      </c>
      <c r="E503" s="21" t="str">
        <f>IF(A503="","",EXP(-Inputs!$C$8*A503))</f>
        <v/>
      </c>
      <c r="F503" s="22" t="str">
        <f t="shared" si="2"/>
        <v/>
      </c>
    </row>
    <row r="504">
      <c r="A504" s="18" t="str">
        <f>'Cashflow Schedule'!B504</f>
        <v/>
      </c>
      <c r="B504" s="18" t="str">
        <f>'Cashflow Schedule'!E504</f>
        <v/>
      </c>
      <c r="C504" s="22" t="str">
        <f>IF(A504="","",Inputs!$C$6*EXP((Inputs!$C$8-Inputs!$C$7)*A504))</f>
        <v/>
      </c>
      <c r="D504" s="22" t="str">
        <f t="shared" si="1"/>
        <v/>
      </c>
      <c r="E504" s="21" t="str">
        <f>IF(A504="","",EXP(-Inputs!$C$8*A504))</f>
        <v/>
      </c>
      <c r="F504" s="22" t="str">
        <f t="shared" si="2"/>
        <v/>
      </c>
    </row>
    <row r="505">
      <c r="A505" s="18" t="str">
        <f>'Cashflow Schedule'!B505</f>
        <v/>
      </c>
      <c r="B505" s="18" t="str">
        <f>'Cashflow Schedule'!E505</f>
        <v/>
      </c>
      <c r="C505" s="22" t="str">
        <f>IF(A505="","",Inputs!$C$6*EXP((Inputs!$C$8-Inputs!$C$7)*A505))</f>
        <v/>
      </c>
      <c r="D505" s="22" t="str">
        <f t="shared" si="1"/>
        <v/>
      </c>
      <c r="E505" s="21" t="str">
        <f>IF(A505="","",EXP(-Inputs!$C$8*A505))</f>
        <v/>
      </c>
      <c r="F505" s="22" t="str">
        <f t="shared" si="2"/>
        <v/>
      </c>
    </row>
    <row r="506">
      <c r="A506" s="18" t="str">
        <f>'Cashflow Schedule'!B506</f>
        <v/>
      </c>
      <c r="B506" s="18" t="str">
        <f>'Cashflow Schedule'!E506</f>
        <v/>
      </c>
      <c r="C506" s="22" t="str">
        <f>IF(A506="","",Inputs!$C$6*EXP((Inputs!$C$8-Inputs!$C$7)*A506))</f>
        <v/>
      </c>
      <c r="D506" s="22" t="str">
        <f t="shared" si="1"/>
        <v/>
      </c>
      <c r="E506" s="21" t="str">
        <f>IF(A506="","",EXP(-Inputs!$C$8*A506))</f>
        <v/>
      </c>
      <c r="F506" s="22" t="str">
        <f t="shared" si="2"/>
        <v/>
      </c>
    </row>
    <row r="507">
      <c r="A507" s="18" t="str">
        <f>'Cashflow Schedule'!B507</f>
        <v/>
      </c>
      <c r="B507" s="18" t="str">
        <f>'Cashflow Schedule'!E507</f>
        <v/>
      </c>
      <c r="C507" s="22" t="str">
        <f>IF(A507="","",Inputs!$C$6*EXP((Inputs!$C$8-Inputs!$C$7)*A507))</f>
        <v/>
      </c>
      <c r="D507" s="22" t="str">
        <f t="shared" si="1"/>
        <v/>
      </c>
      <c r="E507" s="21" t="str">
        <f>IF(A507="","",EXP(-Inputs!$C$8*A507))</f>
        <v/>
      </c>
      <c r="F507" s="22" t="str">
        <f t="shared" si="2"/>
        <v/>
      </c>
    </row>
    <row r="508">
      <c r="A508" s="18" t="str">
        <f>'Cashflow Schedule'!B508</f>
        <v/>
      </c>
      <c r="B508" s="18" t="str">
        <f>'Cashflow Schedule'!E508</f>
        <v/>
      </c>
      <c r="C508" s="22" t="str">
        <f>IF(A508="","",Inputs!$C$6*EXP((Inputs!$C$8-Inputs!$C$7)*A508))</f>
        <v/>
      </c>
      <c r="D508" s="22" t="str">
        <f t="shared" si="1"/>
        <v/>
      </c>
      <c r="E508" s="21" t="str">
        <f>IF(A508="","",EXP(-Inputs!$C$8*A508))</f>
        <v/>
      </c>
      <c r="F508" s="22" t="str">
        <f t="shared" si="2"/>
        <v/>
      </c>
    </row>
    <row r="509">
      <c r="A509" s="18" t="str">
        <f>'Cashflow Schedule'!B509</f>
        <v/>
      </c>
      <c r="B509" s="18" t="str">
        <f>'Cashflow Schedule'!E509</f>
        <v/>
      </c>
      <c r="C509" s="22" t="str">
        <f>IF(A509="","",Inputs!$C$6*EXP((Inputs!$C$8-Inputs!$C$7)*A509))</f>
        <v/>
      </c>
      <c r="D509" s="22" t="str">
        <f t="shared" si="1"/>
        <v/>
      </c>
      <c r="E509" s="21" t="str">
        <f>IF(A509="","",EXP(-Inputs!$C$8*A509))</f>
        <v/>
      </c>
      <c r="F509" s="22" t="str">
        <f t="shared" si="2"/>
        <v/>
      </c>
    </row>
    <row r="510">
      <c r="A510" s="18" t="str">
        <f>'Cashflow Schedule'!B510</f>
        <v/>
      </c>
      <c r="B510" s="18" t="str">
        <f>'Cashflow Schedule'!E510</f>
        <v/>
      </c>
      <c r="C510" s="22" t="str">
        <f>IF(A510="","",Inputs!$C$6*EXP((Inputs!$C$8-Inputs!$C$7)*A510))</f>
        <v/>
      </c>
      <c r="D510" s="22" t="str">
        <f t="shared" si="1"/>
        <v/>
      </c>
      <c r="E510" s="21" t="str">
        <f>IF(A510="","",EXP(-Inputs!$C$8*A510))</f>
        <v/>
      </c>
      <c r="F510" s="22" t="str">
        <f t="shared" si="2"/>
        <v/>
      </c>
    </row>
    <row r="511">
      <c r="A511" s="18" t="str">
        <f>'Cashflow Schedule'!B511</f>
        <v/>
      </c>
      <c r="B511" s="18" t="str">
        <f>'Cashflow Schedule'!E511</f>
        <v/>
      </c>
      <c r="C511" s="22" t="str">
        <f>IF(A511="","",Inputs!$C$6*EXP((Inputs!$C$8-Inputs!$C$7)*A511))</f>
        <v/>
      </c>
      <c r="D511" s="22" t="str">
        <f t="shared" si="1"/>
        <v/>
      </c>
      <c r="E511" s="21" t="str">
        <f>IF(A511="","",EXP(-Inputs!$C$8*A511))</f>
        <v/>
      </c>
      <c r="F511" s="22" t="str">
        <f t="shared" si="2"/>
        <v/>
      </c>
    </row>
    <row r="512">
      <c r="A512" s="18" t="str">
        <f>'Cashflow Schedule'!B512</f>
        <v/>
      </c>
      <c r="B512" s="18" t="str">
        <f>'Cashflow Schedule'!E512</f>
        <v/>
      </c>
      <c r="C512" s="22" t="str">
        <f>IF(A512="","",Inputs!$C$6*EXP((Inputs!$C$8-Inputs!$C$7)*A512))</f>
        <v/>
      </c>
      <c r="D512" s="22" t="str">
        <f t="shared" si="1"/>
        <v/>
      </c>
      <c r="E512" s="21" t="str">
        <f>IF(A512="","",EXP(-Inputs!$C$8*A512))</f>
        <v/>
      </c>
      <c r="F512" s="22" t="str">
        <f t="shared" si="2"/>
        <v/>
      </c>
    </row>
    <row r="513">
      <c r="A513" s="18" t="str">
        <f>'Cashflow Schedule'!B513</f>
        <v/>
      </c>
      <c r="B513" s="18" t="str">
        <f>'Cashflow Schedule'!E513</f>
        <v/>
      </c>
      <c r="C513" s="22" t="str">
        <f>IF(A513="","",Inputs!$C$6*EXP((Inputs!$C$8-Inputs!$C$7)*A513))</f>
        <v/>
      </c>
      <c r="D513" s="22" t="str">
        <f t="shared" si="1"/>
        <v/>
      </c>
      <c r="E513" s="21" t="str">
        <f>IF(A513="","",EXP(-Inputs!$C$8*A513))</f>
        <v/>
      </c>
      <c r="F513" s="22" t="str">
        <f t="shared" si="2"/>
        <v/>
      </c>
    </row>
    <row r="514">
      <c r="A514" s="18" t="str">
        <f>'Cashflow Schedule'!B514</f>
        <v/>
      </c>
      <c r="B514" s="18" t="str">
        <f>'Cashflow Schedule'!E514</f>
        <v/>
      </c>
      <c r="C514" s="22" t="str">
        <f>IF(A514="","",Inputs!$C$6*EXP((Inputs!$C$8-Inputs!$C$7)*A514))</f>
        <v/>
      </c>
      <c r="D514" s="22" t="str">
        <f t="shared" si="1"/>
        <v/>
      </c>
      <c r="E514" s="21" t="str">
        <f>IF(A514="","",EXP(-Inputs!$C$8*A514))</f>
        <v/>
      </c>
      <c r="F514" s="22" t="str">
        <f t="shared" si="2"/>
        <v/>
      </c>
    </row>
    <row r="515">
      <c r="A515" s="18" t="str">
        <f>'Cashflow Schedule'!B515</f>
        <v/>
      </c>
      <c r="B515" s="18" t="str">
        <f>'Cashflow Schedule'!E515</f>
        <v/>
      </c>
      <c r="C515" s="22" t="str">
        <f>IF(A515="","",Inputs!$C$6*EXP((Inputs!$C$8-Inputs!$C$7)*A515))</f>
        <v/>
      </c>
      <c r="D515" s="22" t="str">
        <f t="shared" si="1"/>
        <v/>
      </c>
      <c r="E515" s="21" t="str">
        <f>IF(A515="","",EXP(-Inputs!$C$8*A515))</f>
        <v/>
      </c>
      <c r="F515" s="22" t="str">
        <f t="shared" si="2"/>
        <v/>
      </c>
    </row>
    <row r="516">
      <c r="A516" s="18" t="str">
        <f>'Cashflow Schedule'!B516</f>
        <v/>
      </c>
      <c r="B516" s="18" t="str">
        <f>'Cashflow Schedule'!E516</f>
        <v/>
      </c>
      <c r="C516" s="22" t="str">
        <f>IF(A516="","",Inputs!$C$6*EXP((Inputs!$C$8-Inputs!$C$7)*A516))</f>
        <v/>
      </c>
      <c r="D516" s="22" t="str">
        <f t="shared" si="1"/>
        <v/>
      </c>
      <c r="E516" s="21" t="str">
        <f>IF(A516="","",EXP(-Inputs!$C$8*A516))</f>
        <v/>
      </c>
      <c r="F516" s="22" t="str">
        <f t="shared" si="2"/>
        <v/>
      </c>
    </row>
    <row r="517">
      <c r="A517" s="18" t="str">
        <f>'Cashflow Schedule'!B517</f>
        <v/>
      </c>
      <c r="B517" s="18" t="str">
        <f>'Cashflow Schedule'!E517</f>
        <v/>
      </c>
      <c r="C517" s="22" t="str">
        <f>IF(A517="","",Inputs!$C$6*EXP((Inputs!$C$8-Inputs!$C$7)*A517))</f>
        <v/>
      </c>
      <c r="D517" s="22" t="str">
        <f t="shared" si="1"/>
        <v/>
      </c>
      <c r="E517" s="21" t="str">
        <f>IF(A517="","",EXP(-Inputs!$C$8*A517))</f>
        <v/>
      </c>
      <c r="F517" s="22" t="str">
        <f t="shared" si="2"/>
        <v/>
      </c>
    </row>
    <row r="518">
      <c r="A518" s="18" t="str">
        <f>'Cashflow Schedule'!B518</f>
        <v/>
      </c>
      <c r="B518" s="18" t="str">
        <f>'Cashflow Schedule'!E518</f>
        <v/>
      </c>
      <c r="C518" s="22" t="str">
        <f>IF(A518="","",Inputs!$C$6*EXP((Inputs!$C$8-Inputs!$C$7)*A518))</f>
        <v/>
      </c>
      <c r="D518" s="22" t="str">
        <f t="shared" si="1"/>
        <v/>
      </c>
      <c r="E518" s="21" t="str">
        <f>IF(A518="","",EXP(-Inputs!$C$8*A518))</f>
        <v/>
      </c>
      <c r="F518" s="22" t="str">
        <f t="shared" si="2"/>
        <v/>
      </c>
    </row>
    <row r="519">
      <c r="A519" s="18" t="str">
        <f>'Cashflow Schedule'!B519</f>
        <v/>
      </c>
      <c r="B519" s="18" t="str">
        <f>'Cashflow Schedule'!E519</f>
        <v/>
      </c>
      <c r="C519" s="22" t="str">
        <f>IF(A519="","",Inputs!$C$6*EXP((Inputs!$C$8-Inputs!$C$7)*A519))</f>
        <v/>
      </c>
      <c r="D519" s="22" t="str">
        <f t="shared" si="1"/>
        <v/>
      </c>
      <c r="E519" s="21" t="str">
        <f>IF(A519="","",EXP(-Inputs!$C$8*A519))</f>
        <v/>
      </c>
      <c r="F519" s="22" t="str">
        <f t="shared" si="2"/>
        <v/>
      </c>
    </row>
    <row r="520">
      <c r="A520" s="18" t="str">
        <f>'Cashflow Schedule'!B520</f>
        <v/>
      </c>
      <c r="B520" s="18" t="str">
        <f>'Cashflow Schedule'!E520</f>
        <v/>
      </c>
      <c r="C520" s="22" t="str">
        <f>IF(A520="","",Inputs!$C$6*EXP((Inputs!$C$8-Inputs!$C$7)*A520))</f>
        <v/>
      </c>
      <c r="D520" s="22" t="str">
        <f t="shared" si="1"/>
        <v/>
      </c>
      <c r="E520" s="21" t="str">
        <f>IF(A520="","",EXP(-Inputs!$C$8*A520))</f>
        <v/>
      </c>
      <c r="F520" s="22" t="str">
        <f t="shared" si="2"/>
        <v/>
      </c>
    </row>
    <row r="521">
      <c r="A521" s="18" t="str">
        <f>'Cashflow Schedule'!B521</f>
        <v/>
      </c>
      <c r="B521" s="18" t="str">
        <f>'Cashflow Schedule'!E521</f>
        <v/>
      </c>
      <c r="C521" s="22" t="str">
        <f>IF(A521="","",Inputs!$C$6*EXP((Inputs!$C$8-Inputs!$C$7)*A521))</f>
        <v/>
      </c>
      <c r="D521" s="22" t="str">
        <f t="shared" si="1"/>
        <v/>
      </c>
      <c r="E521" s="21" t="str">
        <f>IF(A521="","",EXP(-Inputs!$C$8*A521))</f>
        <v/>
      </c>
      <c r="F521" s="22" t="str">
        <f t="shared" si="2"/>
        <v/>
      </c>
    </row>
    <row r="522">
      <c r="A522" s="18" t="str">
        <f>'Cashflow Schedule'!B522</f>
        <v/>
      </c>
      <c r="B522" s="18" t="str">
        <f>'Cashflow Schedule'!E522</f>
        <v/>
      </c>
      <c r="C522" s="22" t="str">
        <f>IF(A522="","",Inputs!$C$6*EXP((Inputs!$C$8-Inputs!$C$7)*A522))</f>
        <v/>
      </c>
      <c r="D522" s="22" t="str">
        <f t="shared" si="1"/>
        <v/>
      </c>
      <c r="E522" s="21" t="str">
        <f>IF(A522="","",EXP(-Inputs!$C$8*A522))</f>
        <v/>
      </c>
      <c r="F522" s="22" t="str">
        <f t="shared" si="2"/>
        <v/>
      </c>
    </row>
    <row r="523">
      <c r="A523" s="18" t="str">
        <f>'Cashflow Schedule'!B523</f>
        <v/>
      </c>
      <c r="B523" s="18" t="str">
        <f>'Cashflow Schedule'!E523</f>
        <v/>
      </c>
      <c r="C523" s="22" t="str">
        <f>IF(A523="","",Inputs!$C$6*EXP((Inputs!$C$8-Inputs!$C$7)*A523))</f>
        <v/>
      </c>
      <c r="D523" s="22" t="str">
        <f t="shared" si="1"/>
        <v/>
      </c>
      <c r="E523" s="21" t="str">
        <f>IF(A523="","",EXP(-Inputs!$C$8*A523))</f>
        <v/>
      </c>
      <c r="F523" s="22" t="str">
        <f t="shared" si="2"/>
        <v/>
      </c>
    </row>
    <row r="524">
      <c r="A524" s="18" t="str">
        <f>'Cashflow Schedule'!B524</f>
        <v/>
      </c>
      <c r="B524" s="18" t="str">
        <f>'Cashflow Schedule'!E524</f>
        <v/>
      </c>
      <c r="C524" s="22" t="str">
        <f>IF(A524="","",Inputs!$C$6*EXP((Inputs!$C$8-Inputs!$C$7)*A524))</f>
        <v/>
      </c>
      <c r="D524" s="22" t="str">
        <f t="shared" si="1"/>
        <v/>
      </c>
      <c r="E524" s="21" t="str">
        <f>IF(A524="","",EXP(-Inputs!$C$8*A524))</f>
        <v/>
      </c>
      <c r="F524" s="22" t="str">
        <f t="shared" si="2"/>
        <v/>
      </c>
    </row>
    <row r="525">
      <c r="A525" s="18" t="str">
        <f>'Cashflow Schedule'!B525</f>
        <v/>
      </c>
      <c r="B525" s="18" t="str">
        <f>'Cashflow Schedule'!E525</f>
        <v/>
      </c>
      <c r="C525" s="22" t="str">
        <f>IF(A525="","",Inputs!$C$6*EXP((Inputs!$C$8-Inputs!$C$7)*A525))</f>
        <v/>
      </c>
      <c r="D525" s="22" t="str">
        <f t="shared" si="1"/>
        <v/>
      </c>
      <c r="E525" s="21" t="str">
        <f>IF(A525="","",EXP(-Inputs!$C$8*A525))</f>
        <v/>
      </c>
      <c r="F525" s="22" t="str">
        <f t="shared" si="2"/>
        <v/>
      </c>
    </row>
    <row r="526">
      <c r="A526" s="18" t="str">
        <f>'Cashflow Schedule'!B526</f>
        <v/>
      </c>
      <c r="B526" s="18" t="str">
        <f>'Cashflow Schedule'!E526</f>
        <v/>
      </c>
      <c r="C526" s="22" t="str">
        <f>IF(A526="","",Inputs!$C$6*EXP((Inputs!$C$8-Inputs!$C$7)*A526))</f>
        <v/>
      </c>
      <c r="D526" s="22" t="str">
        <f t="shared" si="1"/>
        <v/>
      </c>
      <c r="E526" s="21" t="str">
        <f>IF(A526="","",EXP(-Inputs!$C$8*A526))</f>
        <v/>
      </c>
      <c r="F526" s="22" t="str">
        <f t="shared" si="2"/>
        <v/>
      </c>
    </row>
    <row r="527">
      <c r="A527" s="18" t="str">
        <f>'Cashflow Schedule'!B527</f>
        <v/>
      </c>
      <c r="B527" s="18" t="str">
        <f>'Cashflow Schedule'!E527</f>
        <v/>
      </c>
      <c r="C527" s="22" t="str">
        <f>IF(A527="","",Inputs!$C$6*EXP((Inputs!$C$8-Inputs!$C$7)*A527))</f>
        <v/>
      </c>
      <c r="D527" s="22" t="str">
        <f t="shared" si="1"/>
        <v/>
      </c>
      <c r="E527" s="21" t="str">
        <f>IF(A527="","",EXP(-Inputs!$C$8*A527))</f>
        <v/>
      </c>
      <c r="F527" s="22" t="str">
        <f t="shared" si="2"/>
        <v/>
      </c>
    </row>
    <row r="528">
      <c r="A528" s="18" t="str">
        <f>'Cashflow Schedule'!B528</f>
        <v/>
      </c>
      <c r="B528" s="18" t="str">
        <f>'Cashflow Schedule'!E528</f>
        <v/>
      </c>
      <c r="C528" s="22" t="str">
        <f>IF(A528="","",Inputs!$C$6*EXP((Inputs!$C$8-Inputs!$C$7)*A528))</f>
        <v/>
      </c>
      <c r="D528" s="22" t="str">
        <f t="shared" si="1"/>
        <v/>
      </c>
      <c r="E528" s="21" t="str">
        <f>IF(A528="","",EXP(-Inputs!$C$8*A528))</f>
        <v/>
      </c>
      <c r="F528" s="22" t="str">
        <f t="shared" si="2"/>
        <v/>
      </c>
    </row>
    <row r="529">
      <c r="A529" s="18" t="str">
        <f>'Cashflow Schedule'!B529</f>
        <v/>
      </c>
      <c r="B529" s="18" t="str">
        <f>'Cashflow Schedule'!E529</f>
        <v/>
      </c>
      <c r="C529" s="22" t="str">
        <f>IF(A529="","",Inputs!$C$6*EXP((Inputs!$C$8-Inputs!$C$7)*A529))</f>
        <v/>
      </c>
      <c r="D529" s="22" t="str">
        <f t="shared" si="1"/>
        <v/>
      </c>
      <c r="E529" s="21" t="str">
        <f>IF(A529="","",EXP(-Inputs!$C$8*A529))</f>
        <v/>
      </c>
      <c r="F529" s="22" t="str">
        <f t="shared" si="2"/>
        <v/>
      </c>
    </row>
    <row r="530">
      <c r="A530" s="18" t="str">
        <f>'Cashflow Schedule'!B530</f>
        <v/>
      </c>
      <c r="B530" s="18" t="str">
        <f>'Cashflow Schedule'!E530</f>
        <v/>
      </c>
      <c r="C530" s="22" t="str">
        <f>IF(A530="","",Inputs!$C$6*EXP((Inputs!$C$8-Inputs!$C$7)*A530))</f>
        <v/>
      </c>
      <c r="D530" s="22" t="str">
        <f t="shared" si="1"/>
        <v/>
      </c>
      <c r="E530" s="21" t="str">
        <f>IF(A530="","",EXP(-Inputs!$C$8*A530))</f>
        <v/>
      </c>
      <c r="F530" s="22" t="str">
        <f t="shared" si="2"/>
        <v/>
      </c>
    </row>
    <row r="531">
      <c r="A531" s="18" t="str">
        <f>'Cashflow Schedule'!B531</f>
        <v/>
      </c>
      <c r="B531" s="18" t="str">
        <f>'Cashflow Schedule'!E531</f>
        <v/>
      </c>
      <c r="C531" s="22" t="str">
        <f>IF(A531="","",Inputs!$C$6*EXP((Inputs!$C$8-Inputs!$C$7)*A531))</f>
        <v/>
      </c>
      <c r="D531" s="22" t="str">
        <f t="shared" si="1"/>
        <v/>
      </c>
      <c r="E531" s="21" t="str">
        <f>IF(A531="","",EXP(-Inputs!$C$8*A531))</f>
        <v/>
      </c>
      <c r="F531" s="22" t="str">
        <f t="shared" si="2"/>
        <v/>
      </c>
    </row>
    <row r="532">
      <c r="A532" s="18" t="str">
        <f>'Cashflow Schedule'!B532</f>
        <v/>
      </c>
      <c r="B532" s="18" t="str">
        <f>'Cashflow Schedule'!E532</f>
        <v/>
      </c>
      <c r="C532" s="22" t="str">
        <f>IF(A532="","",Inputs!$C$6*EXP((Inputs!$C$8-Inputs!$C$7)*A532))</f>
        <v/>
      </c>
      <c r="D532" s="22" t="str">
        <f t="shared" si="1"/>
        <v/>
      </c>
      <c r="E532" s="21" t="str">
        <f>IF(A532="","",EXP(-Inputs!$C$8*A532))</f>
        <v/>
      </c>
      <c r="F532" s="22" t="str">
        <f t="shared" si="2"/>
        <v/>
      </c>
    </row>
    <row r="533">
      <c r="A533" s="18" t="str">
        <f>'Cashflow Schedule'!B533</f>
        <v/>
      </c>
      <c r="B533" s="18" t="str">
        <f>'Cashflow Schedule'!E533</f>
        <v/>
      </c>
      <c r="C533" s="22" t="str">
        <f>IF(A533="","",Inputs!$C$6*EXP((Inputs!$C$8-Inputs!$C$7)*A533))</f>
        <v/>
      </c>
      <c r="D533" s="22" t="str">
        <f t="shared" si="1"/>
        <v/>
      </c>
      <c r="E533" s="21" t="str">
        <f>IF(A533="","",EXP(-Inputs!$C$8*A533))</f>
        <v/>
      </c>
      <c r="F533" s="22" t="str">
        <f t="shared" si="2"/>
        <v/>
      </c>
    </row>
    <row r="534">
      <c r="A534" s="18" t="str">
        <f>'Cashflow Schedule'!B534</f>
        <v/>
      </c>
      <c r="B534" s="18" t="str">
        <f>'Cashflow Schedule'!E534</f>
        <v/>
      </c>
      <c r="C534" s="22" t="str">
        <f>IF(A534="","",Inputs!$C$6*EXP((Inputs!$C$8-Inputs!$C$7)*A534))</f>
        <v/>
      </c>
      <c r="D534" s="22" t="str">
        <f t="shared" si="1"/>
        <v/>
      </c>
      <c r="E534" s="21" t="str">
        <f>IF(A534="","",EXP(-Inputs!$C$8*A534))</f>
        <v/>
      </c>
      <c r="F534" s="22" t="str">
        <f t="shared" si="2"/>
        <v/>
      </c>
    </row>
    <row r="535">
      <c r="A535" s="18" t="str">
        <f>'Cashflow Schedule'!B535</f>
        <v/>
      </c>
      <c r="B535" s="18" t="str">
        <f>'Cashflow Schedule'!E535</f>
        <v/>
      </c>
      <c r="C535" s="22" t="str">
        <f>IF(A535="","",Inputs!$C$6*EXP((Inputs!$C$8-Inputs!$C$7)*A535))</f>
        <v/>
      </c>
      <c r="D535" s="22" t="str">
        <f t="shared" si="1"/>
        <v/>
      </c>
      <c r="E535" s="21" t="str">
        <f>IF(A535="","",EXP(-Inputs!$C$8*A535))</f>
        <v/>
      </c>
      <c r="F535" s="22" t="str">
        <f t="shared" si="2"/>
        <v/>
      </c>
    </row>
    <row r="536">
      <c r="A536" s="18" t="str">
        <f>'Cashflow Schedule'!B536</f>
        <v/>
      </c>
      <c r="B536" s="18" t="str">
        <f>'Cashflow Schedule'!E536</f>
        <v/>
      </c>
      <c r="C536" s="22" t="str">
        <f>IF(A536="","",Inputs!$C$6*EXP((Inputs!$C$8-Inputs!$C$7)*A536))</f>
        <v/>
      </c>
      <c r="D536" s="22" t="str">
        <f t="shared" si="1"/>
        <v/>
      </c>
      <c r="E536" s="21" t="str">
        <f>IF(A536="","",EXP(-Inputs!$C$8*A536))</f>
        <v/>
      </c>
      <c r="F536" s="22" t="str">
        <f t="shared" si="2"/>
        <v/>
      </c>
    </row>
    <row r="537">
      <c r="A537" s="18" t="str">
        <f>'Cashflow Schedule'!B537</f>
        <v/>
      </c>
      <c r="B537" s="18" t="str">
        <f>'Cashflow Schedule'!E537</f>
        <v/>
      </c>
      <c r="C537" s="22" t="str">
        <f>IF(A537="","",Inputs!$C$6*EXP((Inputs!$C$8-Inputs!$C$7)*A537))</f>
        <v/>
      </c>
      <c r="D537" s="22" t="str">
        <f t="shared" si="1"/>
        <v/>
      </c>
      <c r="E537" s="21" t="str">
        <f>IF(A537="","",EXP(-Inputs!$C$8*A537))</f>
        <v/>
      </c>
      <c r="F537" s="22" t="str">
        <f t="shared" si="2"/>
        <v/>
      </c>
    </row>
    <row r="538">
      <c r="A538" s="18" t="str">
        <f>'Cashflow Schedule'!B538</f>
        <v/>
      </c>
      <c r="B538" s="18" t="str">
        <f>'Cashflow Schedule'!E538</f>
        <v/>
      </c>
      <c r="C538" s="22" t="str">
        <f>IF(A538="","",Inputs!$C$6*EXP((Inputs!$C$8-Inputs!$C$7)*A538))</f>
        <v/>
      </c>
      <c r="D538" s="22" t="str">
        <f t="shared" si="1"/>
        <v/>
      </c>
      <c r="E538" s="21" t="str">
        <f>IF(A538="","",EXP(-Inputs!$C$8*A538))</f>
        <v/>
      </c>
      <c r="F538" s="22" t="str">
        <f t="shared" si="2"/>
        <v/>
      </c>
    </row>
    <row r="539">
      <c r="A539" s="18" t="str">
        <f>'Cashflow Schedule'!B539</f>
        <v/>
      </c>
      <c r="B539" s="18" t="str">
        <f>'Cashflow Schedule'!E539</f>
        <v/>
      </c>
      <c r="C539" s="22" t="str">
        <f>IF(A539="","",Inputs!$C$6*EXP((Inputs!$C$8-Inputs!$C$7)*A539))</f>
        <v/>
      </c>
      <c r="D539" s="22" t="str">
        <f t="shared" si="1"/>
        <v/>
      </c>
      <c r="E539" s="21" t="str">
        <f>IF(A539="","",EXP(-Inputs!$C$8*A539))</f>
        <v/>
      </c>
      <c r="F539" s="22" t="str">
        <f t="shared" si="2"/>
        <v/>
      </c>
    </row>
    <row r="540">
      <c r="A540" s="18" t="str">
        <f>'Cashflow Schedule'!B540</f>
        <v/>
      </c>
      <c r="B540" s="18" t="str">
        <f>'Cashflow Schedule'!E540</f>
        <v/>
      </c>
      <c r="C540" s="22" t="str">
        <f>IF(A540="","",Inputs!$C$6*EXP((Inputs!$C$8-Inputs!$C$7)*A540))</f>
        <v/>
      </c>
      <c r="D540" s="22" t="str">
        <f t="shared" si="1"/>
        <v/>
      </c>
      <c r="E540" s="21" t="str">
        <f>IF(A540="","",EXP(-Inputs!$C$8*A540))</f>
        <v/>
      </c>
      <c r="F540" s="22" t="str">
        <f t="shared" si="2"/>
        <v/>
      </c>
    </row>
    <row r="541">
      <c r="A541" s="18" t="str">
        <f>'Cashflow Schedule'!B541</f>
        <v/>
      </c>
      <c r="B541" s="18" t="str">
        <f>'Cashflow Schedule'!E541</f>
        <v/>
      </c>
      <c r="C541" s="22" t="str">
        <f>IF(A541="","",Inputs!$C$6*EXP((Inputs!$C$8-Inputs!$C$7)*A541))</f>
        <v/>
      </c>
      <c r="D541" s="22" t="str">
        <f t="shared" si="1"/>
        <v/>
      </c>
      <c r="E541" s="21" t="str">
        <f>IF(A541="","",EXP(-Inputs!$C$8*A541))</f>
        <v/>
      </c>
      <c r="F541" s="22" t="str">
        <f t="shared" si="2"/>
        <v/>
      </c>
    </row>
    <row r="542">
      <c r="A542" s="18" t="str">
        <f>'Cashflow Schedule'!B542</f>
        <v/>
      </c>
      <c r="B542" s="18" t="str">
        <f>'Cashflow Schedule'!E542</f>
        <v/>
      </c>
      <c r="C542" s="22" t="str">
        <f>IF(A542="","",Inputs!$C$6*EXP((Inputs!$C$8-Inputs!$C$7)*A542))</f>
        <v/>
      </c>
      <c r="D542" s="22" t="str">
        <f t="shared" si="1"/>
        <v/>
      </c>
      <c r="E542" s="21" t="str">
        <f>IF(A542="","",EXP(-Inputs!$C$8*A542))</f>
        <v/>
      </c>
      <c r="F542" s="22" t="str">
        <f t="shared" si="2"/>
        <v/>
      </c>
    </row>
    <row r="543">
      <c r="A543" s="18" t="str">
        <f>'Cashflow Schedule'!B543</f>
        <v/>
      </c>
      <c r="B543" s="18" t="str">
        <f>'Cashflow Schedule'!E543</f>
        <v/>
      </c>
      <c r="C543" s="22" t="str">
        <f>IF(A543="","",Inputs!$C$6*EXP((Inputs!$C$8-Inputs!$C$7)*A543))</f>
        <v/>
      </c>
      <c r="D543" s="22" t="str">
        <f t="shared" si="1"/>
        <v/>
      </c>
      <c r="E543" s="21" t="str">
        <f>IF(A543="","",EXP(-Inputs!$C$8*A543))</f>
        <v/>
      </c>
      <c r="F543" s="22" t="str">
        <f t="shared" si="2"/>
        <v/>
      </c>
    </row>
    <row r="544">
      <c r="A544" s="18" t="str">
        <f>'Cashflow Schedule'!B544</f>
        <v/>
      </c>
      <c r="B544" s="18" t="str">
        <f>'Cashflow Schedule'!E544</f>
        <v/>
      </c>
      <c r="C544" s="22" t="str">
        <f>IF(A544="","",Inputs!$C$6*EXP((Inputs!$C$8-Inputs!$C$7)*A544))</f>
        <v/>
      </c>
      <c r="D544" s="22" t="str">
        <f t="shared" si="1"/>
        <v/>
      </c>
      <c r="E544" s="21" t="str">
        <f>IF(A544="","",EXP(-Inputs!$C$8*A544))</f>
        <v/>
      </c>
      <c r="F544" s="22" t="str">
        <f t="shared" si="2"/>
        <v/>
      </c>
    </row>
    <row r="545">
      <c r="A545" s="18" t="str">
        <f>'Cashflow Schedule'!B545</f>
        <v/>
      </c>
      <c r="B545" s="18" t="str">
        <f>'Cashflow Schedule'!E545</f>
        <v/>
      </c>
      <c r="C545" s="22" t="str">
        <f>IF(A545="","",Inputs!$C$6*EXP((Inputs!$C$8-Inputs!$C$7)*A545))</f>
        <v/>
      </c>
      <c r="D545" s="22" t="str">
        <f t="shared" si="1"/>
        <v/>
      </c>
      <c r="E545" s="21" t="str">
        <f>IF(A545="","",EXP(-Inputs!$C$8*A545))</f>
        <v/>
      </c>
      <c r="F545" s="22" t="str">
        <f t="shared" si="2"/>
        <v/>
      </c>
    </row>
    <row r="546">
      <c r="A546" s="18" t="str">
        <f>'Cashflow Schedule'!B546</f>
        <v/>
      </c>
      <c r="B546" s="18" t="str">
        <f>'Cashflow Schedule'!E546</f>
        <v/>
      </c>
      <c r="C546" s="22" t="str">
        <f>IF(A546="","",Inputs!$C$6*EXP((Inputs!$C$8-Inputs!$C$7)*A546))</f>
        <v/>
      </c>
      <c r="D546" s="22" t="str">
        <f t="shared" si="1"/>
        <v/>
      </c>
      <c r="E546" s="21" t="str">
        <f>IF(A546="","",EXP(-Inputs!$C$8*A546))</f>
        <v/>
      </c>
      <c r="F546" s="22" t="str">
        <f t="shared" si="2"/>
        <v/>
      </c>
    </row>
    <row r="547">
      <c r="A547" s="18" t="str">
        <f>'Cashflow Schedule'!B547</f>
        <v/>
      </c>
      <c r="B547" s="18" t="str">
        <f>'Cashflow Schedule'!E547</f>
        <v/>
      </c>
      <c r="C547" s="22" t="str">
        <f>IF(A547="","",Inputs!$C$6*EXP((Inputs!$C$8-Inputs!$C$7)*A547))</f>
        <v/>
      </c>
      <c r="D547" s="22" t="str">
        <f t="shared" si="1"/>
        <v/>
      </c>
      <c r="E547" s="21" t="str">
        <f>IF(A547="","",EXP(-Inputs!$C$8*A547))</f>
        <v/>
      </c>
      <c r="F547" s="22" t="str">
        <f t="shared" si="2"/>
        <v/>
      </c>
    </row>
    <row r="548">
      <c r="A548" s="18" t="str">
        <f>'Cashflow Schedule'!B548</f>
        <v/>
      </c>
      <c r="B548" s="18" t="str">
        <f>'Cashflow Schedule'!E548</f>
        <v/>
      </c>
      <c r="C548" s="22" t="str">
        <f>IF(A548="","",Inputs!$C$6*EXP((Inputs!$C$8-Inputs!$C$7)*A548))</f>
        <v/>
      </c>
      <c r="D548" s="22" t="str">
        <f t="shared" si="1"/>
        <v/>
      </c>
      <c r="E548" s="21" t="str">
        <f>IF(A548="","",EXP(-Inputs!$C$8*A548))</f>
        <v/>
      </c>
      <c r="F548" s="22" t="str">
        <f t="shared" si="2"/>
        <v/>
      </c>
    </row>
    <row r="549">
      <c r="A549" s="18" t="str">
        <f>'Cashflow Schedule'!B549</f>
        <v/>
      </c>
      <c r="B549" s="18" t="str">
        <f>'Cashflow Schedule'!E549</f>
        <v/>
      </c>
      <c r="C549" s="22" t="str">
        <f>IF(A549="","",Inputs!$C$6*EXP((Inputs!$C$8-Inputs!$C$7)*A549))</f>
        <v/>
      </c>
      <c r="D549" s="22" t="str">
        <f t="shared" si="1"/>
        <v/>
      </c>
      <c r="E549" s="21" t="str">
        <f>IF(A549="","",EXP(-Inputs!$C$8*A549))</f>
        <v/>
      </c>
      <c r="F549" s="22" t="str">
        <f t="shared" si="2"/>
        <v/>
      </c>
    </row>
    <row r="550">
      <c r="A550" s="18" t="str">
        <f>'Cashflow Schedule'!B550</f>
        <v/>
      </c>
      <c r="B550" s="18" t="str">
        <f>'Cashflow Schedule'!E550</f>
        <v/>
      </c>
      <c r="C550" s="22" t="str">
        <f>IF(A550="","",Inputs!$C$6*EXP((Inputs!$C$8-Inputs!$C$7)*A550))</f>
        <v/>
      </c>
      <c r="D550" s="22" t="str">
        <f t="shared" si="1"/>
        <v/>
      </c>
      <c r="E550" s="21" t="str">
        <f>IF(A550="","",EXP(-Inputs!$C$8*A550))</f>
        <v/>
      </c>
      <c r="F550" s="22" t="str">
        <f t="shared" si="2"/>
        <v/>
      </c>
    </row>
    <row r="551">
      <c r="A551" s="18" t="str">
        <f>'Cashflow Schedule'!B551</f>
        <v/>
      </c>
      <c r="B551" s="18" t="str">
        <f>'Cashflow Schedule'!E551</f>
        <v/>
      </c>
      <c r="C551" s="22" t="str">
        <f>IF(A551="","",Inputs!$C$6*EXP((Inputs!$C$8-Inputs!$C$7)*A551))</f>
        <v/>
      </c>
      <c r="D551" s="22" t="str">
        <f t="shared" si="1"/>
        <v/>
      </c>
      <c r="E551" s="21" t="str">
        <f>IF(A551="","",EXP(-Inputs!$C$8*A551))</f>
        <v/>
      </c>
      <c r="F551" s="22" t="str">
        <f t="shared" si="2"/>
        <v/>
      </c>
    </row>
    <row r="552">
      <c r="A552" s="18" t="str">
        <f>'Cashflow Schedule'!B552</f>
        <v/>
      </c>
      <c r="B552" s="18" t="str">
        <f>'Cashflow Schedule'!E552</f>
        <v/>
      </c>
      <c r="C552" s="22" t="str">
        <f>IF(A552="","",Inputs!$C$6*EXP((Inputs!$C$8-Inputs!$C$7)*A552))</f>
        <v/>
      </c>
      <c r="D552" s="22" t="str">
        <f t="shared" si="1"/>
        <v/>
      </c>
      <c r="E552" s="21" t="str">
        <f>IF(A552="","",EXP(-Inputs!$C$8*A552))</f>
        <v/>
      </c>
      <c r="F552" s="22" t="str">
        <f t="shared" si="2"/>
        <v/>
      </c>
    </row>
    <row r="553">
      <c r="A553" s="18" t="str">
        <f>'Cashflow Schedule'!B553</f>
        <v/>
      </c>
      <c r="B553" s="18" t="str">
        <f>'Cashflow Schedule'!E553</f>
        <v/>
      </c>
      <c r="C553" s="22" t="str">
        <f>IF(A553="","",Inputs!$C$6*EXP((Inputs!$C$8-Inputs!$C$7)*A553))</f>
        <v/>
      </c>
      <c r="D553" s="22" t="str">
        <f t="shared" si="1"/>
        <v/>
      </c>
      <c r="E553" s="21" t="str">
        <f>IF(A553="","",EXP(-Inputs!$C$8*A553))</f>
        <v/>
      </c>
      <c r="F553" s="22" t="str">
        <f t="shared" si="2"/>
        <v/>
      </c>
    </row>
    <row r="554">
      <c r="A554" s="18" t="str">
        <f>'Cashflow Schedule'!B554</f>
        <v/>
      </c>
      <c r="B554" s="18" t="str">
        <f>'Cashflow Schedule'!E554</f>
        <v/>
      </c>
      <c r="C554" s="22" t="str">
        <f>IF(A554="","",Inputs!$C$6*EXP((Inputs!$C$8-Inputs!$C$7)*A554))</f>
        <v/>
      </c>
      <c r="D554" s="22" t="str">
        <f t="shared" si="1"/>
        <v/>
      </c>
      <c r="E554" s="21" t="str">
        <f>IF(A554="","",EXP(-Inputs!$C$8*A554))</f>
        <v/>
      </c>
      <c r="F554" s="22" t="str">
        <f t="shared" si="2"/>
        <v/>
      </c>
    </row>
    <row r="555">
      <c r="A555" s="18" t="str">
        <f>'Cashflow Schedule'!B555</f>
        <v/>
      </c>
      <c r="B555" s="18" t="str">
        <f>'Cashflow Schedule'!E555</f>
        <v/>
      </c>
      <c r="C555" s="22" t="str">
        <f>IF(A555="","",Inputs!$C$6*EXP((Inputs!$C$8-Inputs!$C$7)*A555))</f>
        <v/>
      </c>
      <c r="D555" s="22" t="str">
        <f t="shared" si="1"/>
        <v/>
      </c>
      <c r="E555" s="21" t="str">
        <f>IF(A555="","",EXP(-Inputs!$C$8*A555))</f>
        <v/>
      </c>
      <c r="F555" s="22" t="str">
        <f t="shared" si="2"/>
        <v/>
      </c>
    </row>
    <row r="556">
      <c r="A556" s="18" t="str">
        <f>'Cashflow Schedule'!B556</f>
        <v/>
      </c>
      <c r="B556" s="18" t="str">
        <f>'Cashflow Schedule'!E556</f>
        <v/>
      </c>
      <c r="C556" s="22" t="str">
        <f>IF(A556="","",Inputs!$C$6*EXP((Inputs!$C$8-Inputs!$C$7)*A556))</f>
        <v/>
      </c>
      <c r="D556" s="22" t="str">
        <f t="shared" si="1"/>
        <v/>
      </c>
      <c r="E556" s="21" t="str">
        <f>IF(A556="","",EXP(-Inputs!$C$8*A556))</f>
        <v/>
      </c>
      <c r="F556" s="22" t="str">
        <f t="shared" si="2"/>
        <v/>
      </c>
    </row>
    <row r="557">
      <c r="A557" s="18" t="str">
        <f>'Cashflow Schedule'!B557</f>
        <v/>
      </c>
      <c r="B557" s="18" t="str">
        <f>'Cashflow Schedule'!E557</f>
        <v/>
      </c>
      <c r="C557" s="22" t="str">
        <f>IF(A557="","",Inputs!$C$6*EXP((Inputs!$C$8-Inputs!$C$7)*A557))</f>
        <v/>
      </c>
      <c r="D557" s="22" t="str">
        <f t="shared" si="1"/>
        <v/>
      </c>
      <c r="E557" s="21" t="str">
        <f>IF(A557="","",EXP(-Inputs!$C$8*A557))</f>
        <v/>
      </c>
      <c r="F557" s="22" t="str">
        <f t="shared" si="2"/>
        <v/>
      </c>
    </row>
    <row r="558">
      <c r="A558" s="18" t="str">
        <f>'Cashflow Schedule'!B558</f>
        <v/>
      </c>
      <c r="B558" s="18" t="str">
        <f>'Cashflow Schedule'!E558</f>
        <v/>
      </c>
      <c r="C558" s="22" t="str">
        <f>IF(A558="","",Inputs!$C$6*EXP((Inputs!$C$8-Inputs!$C$7)*A558))</f>
        <v/>
      </c>
      <c r="D558" s="22" t="str">
        <f t="shared" si="1"/>
        <v/>
      </c>
      <c r="E558" s="21" t="str">
        <f>IF(A558="","",EXP(-Inputs!$C$8*A558))</f>
        <v/>
      </c>
      <c r="F558" s="22" t="str">
        <f t="shared" si="2"/>
        <v/>
      </c>
    </row>
    <row r="559">
      <c r="A559" s="18" t="str">
        <f>'Cashflow Schedule'!B559</f>
        <v/>
      </c>
      <c r="B559" s="18" t="str">
        <f>'Cashflow Schedule'!E559</f>
        <v/>
      </c>
      <c r="C559" s="22" t="str">
        <f>IF(A559="","",Inputs!$C$6*EXP((Inputs!$C$8-Inputs!$C$7)*A559))</f>
        <v/>
      </c>
      <c r="D559" s="22" t="str">
        <f t="shared" si="1"/>
        <v/>
      </c>
      <c r="E559" s="21" t="str">
        <f>IF(A559="","",EXP(-Inputs!$C$8*A559))</f>
        <v/>
      </c>
      <c r="F559" s="22" t="str">
        <f t="shared" si="2"/>
        <v/>
      </c>
    </row>
    <row r="560">
      <c r="A560" s="18" t="str">
        <f>'Cashflow Schedule'!B560</f>
        <v/>
      </c>
      <c r="B560" s="18" t="str">
        <f>'Cashflow Schedule'!E560</f>
        <v/>
      </c>
      <c r="C560" s="22" t="str">
        <f>IF(A560="","",Inputs!$C$6*EXP((Inputs!$C$8-Inputs!$C$7)*A560))</f>
        <v/>
      </c>
      <c r="D560" s="22" t="str">
        <f t="shared" si="1"/>
        <v/>
      </c>
      <c r="E560" s="21" t="str">
        <f>IF(A560="","",EXP(-Inputs!$C$8*A560))</f>
        <v/>
      </c>
      <c r="F560" s="22" t="str">
        <f t="shared" si="2"/>
        <v/>
      </c>
    </row>
    <row r="561">
      <c r="A561" s="18" t="str">
        <f>'Cashflow Schedule'!B561</f>
        <v/>
      </c>
      <c r="B561" s="18" t="str">
        <f>'Cashflow Schedule'!E561</f>
        <v/>
      </c>
      <c r="C561" s="22" t="str">
        <f>IF(A561="","",Inputs!$C$6*EXP((Inputs!$C$8-Inputs!$C$7)*A561))</f>
        <v/>
      </c>
      <c r="D561" s="22" t="str">
        <f t="shared" si="1"/>
        <v/>
      </c>
      <c r="E561" s="21" t="str">
        <f>IF(A561="","",EXP(-Inputs!$C$8*A561))</f>
        <v/>
      </c>
      <c r="F561" s="22" t="str">
        <f t="shared" si="2"/>
        <v/>
      </c>
    </row>
    <row r="562">
      <c r="A562" s="18" t="str">
        <f>'Cashflow Schedule'!B562</f>
        <v/>
      </c>
      <c r="B562" s="18" t="str">
        <f>'Cashflow Schedule'!E562</f>
        <v/>
      </c>
      <c r="C562" s="22" t="str">
        <f>IF(A562="","",Inputs!$C$6*EXP((Inputs!$C$8-Inputs!$C$7)*A562))</f>
        <v/>
      </c>
      <c r="D562" s="22" t="str">
        <f t="shared" si="1"/>
        <v/>
      </c>
      <c r="E562" s="21" t="str">
        <f>IF(A562="","",EXP(-Inputs!$C$8*A562))</f>
        <v/>
      </c>
      <c r="F562" s="22" t="str">
        <f t="shared" si="2"/>
        <v/>
      </c>
    </row>
    <row r="563">
      <c r="A563" s="18" t="str">
        <f>'Cashflow Schedule'!B563</f>
        <v/>
      </c>
      <c r="B563" s="18" t="str">
        <f>'Cashflow Schedule'!E563</f>
        <v/>
      </c>
      <c r="C563" s="22" t="str">
        <f>IF(A563="","",Inputs!$C$6*EXP((Inputs!$C$8-Inputs!$C$7)*A563))</f>
        <v/>
      </c>
      <c r="D563" s="22" t="str">
        <f t="shared" si="1"/>
        <v/>
      </c>
      <c r="E563" s="21" t="str">
        <f>IF(A563="","",EXP(-Inputs!$C$8*A563))</f>
        <v/>
      </c>
      <c r="F563" s="22" t="str">
        <f t="shared" si="2"/>
        <v/>
      </c>
    </row>
    <row r="564">
      <c r="A564" s="18" t="str">
        <f>'Cashflow Schedule'!B564</f>
        <v/>
      </c>
      <c r="B564" s="18" t="str">
        <f>'Cashflow Schedule'!E564</f>
        <v/>
      </c>
      <c r="C564" s="22" t="str">
        <f>IF(A564="","",Inputs!$C$6*EXP((Inputs!$C$8-Inputs!$C$7)*A564))</f>
        <v/>
      </c>
      <c r="D564" s="22" t="str">
        <f t="shared" si="1"/>
        <v/>
      </c>
      <c r="E564" s="21" t="str">
        <f>IF(A564="","",EXP(-Inputs!$C$8*A564))</f>
        <v/>
      </c>
      <c r="F564" s="22" t="str">
        <f t="shared" si="2"/>
        <v/>
      </c>
    </row>
    <row r="565">
      <c r="A565" s="18" t="str">
        <f>'Cashflow Schedule'!B565</f>
        <v/>
      </c>
      <c r="B565" s="18" t="str">
        <f>'Cashflow Schedule'!E565</f>
        <v/>
      </c>
      <c r="C565" s="22" t="str">
        <f>IF(A565="","",Inputs!$C$6*EXP((Inputs!$C$8-Inputs!$C$7)*A565))</f>
        <v/>
      </c>
      <c r="D565" s="22" t="str">
        <f t="shared" si="1"/>
        <v/>
      </c>
      <c r="E565" s="21" t="str">
        <f>IF(A565="","",EXP(-Inputs!$C$8*A565))</f>
        <v/>
      </c>
      <c r="F565" s="22" t="str">
        <f t="shared" si="2"/>
        <v/>
      </c>
    </row>
    <row r="566">
      <c r="A566" s="18" t="str">
        <f>'Cashflow Schedule'!B566</f>
        <v/>
      </c>
      <c r="B566" s="18" t="str">
        <f>'Cashflow Schedule'!E566</f>
        <v/>
      </c>
      <c r="C566" s="22" t="str">
        <f>IF(A566="","",Inputs!$C$6*EXP((Inputs!$C$8-Inputs!$C$7)*A566))</f>
        <v/>
      </c>
      <c r="D566" s="22" t="str">
        <f t="shared" si="1"/>
        <v/>
      </c>
      <c r="E566" s="21" t="str">
        <f>IF(A566="","",EXP(-Inputs!$C$8*A566))</f>
        <v/>
      </c>
      <c r="F566" s="22" t="str">
        <f t="shared" si="2"/>
        <v/>
      </c>
    </row>
    <row r="567">
      <c r="A567" s="18" t="str">
        <f>'Cashflow Schedule'!B567</f>
        <v/>
      </c>
      <c r="B567" s="18" t="str">
        <f>'Cashflow Schedule'!E567</f>
        <v/>
      </c>
      <c r="C567" s="22" t="str">
        <f>IF(A567="","",Inputs!$C$6*EXP((Inputs!$C$8-Inputs!$C$7)*A567))</f>
        <v/>
      </c>
      <c r="D567" s="22" t="str">
        <f t="shared" si="1"/>
        <v/>
      </c>
      <c r="E567" s="21" t="str">
        <f>IF(A567="","",EXP(-Inputs!$C$8*A567))</f>
        <v/>
      </c>
      <c r="F567" s="22" t="str">
        <f t="shared" si="2"/>
        <v/>
      </c>
    </row>
    <row r="568">
      <c r="A568" s="18" t="str">
        <f>'Cashflow Schedule'!B568</f>
        <v/>
      </c>
      <c r="B568" s="18" t="str">
        <f>'Cashflow Schedule'!E568</f>
        <v/>
      </c>
      <c r="C568" s="22" t="str">
        <f>IF(A568="","",Inputs!$C$6*EXP((Inputs!$C$8-Inputs!$C$7)*A568))</f>
        <v/>
      </c>
      <c r="D568" s="22" t="str">
        <f t="shared" si="1"/>
        <v/>
      </c>
      <c r="E568" s="21" t="str">
        <f>IF(A568="","",EXP(-Inputs!$C$8*A568))</f>
        <v/>
      </c>
      <c r="F568" s="22" t="str">
        <f t="shared" si="2"/>
        <v/>
      </c>
    </row>
    <row r="569">
      <c r="A569" s="18" t="str">
        <f>'Cashflow Schedule'!B569</f>
        <v/>
      </c>
      <c r="B569" s="18" t="str">
        <f>'Cashflow Schedule'!E569</f>
        <v/>
      </c>
      <c r="C569" s="22" t="str">
        <f>IF(A569="","",Inputs!$C$6*EXP((Inputs!$C$8-Inputs!$C$7)*A569))</f>
        <v/>
      </c>
      <c r="D569" s="22" t="str">
        <f t="shared" si="1"/>
        <v/>
      </c>
      <c r="E569" s="21" t="str">
        <f>IF(A569="","",EXP(-Inputs!$C$8*A569))</f>
        <v/>
      </c>
      <c r="F569" s="22" t="str">
        <f t="shared" si="2"/>
        <v/>
      </c>
    </row>
    <row r="570">
      <c r="A570" s="18" t="str">
        <f>'Cashflow Schedule'!B570</f>
        <v/>
      </c>
      <c r="B570" s="18" t="str">
        <f>'Cashflow Schedule'!E570</f>
        <v/>
      </c>
      <c r="C570" s="22" t="str">
        <f>IF(A570="","",Inputs!$C$6*EXP((Inputs!$C$8-Inputs!$C$7)*A570))</f>
        <v/>
      </c>
      <c r="D570" s="22" t="str">
        <f t="shared" si="1"/>
        <v/>
      </c>
      <c r="E570" s="21" t="str">
        <f>IF(A570="","",EXP(-Inputs!$C$8*A570))</f>
        <v/>
      </c>
      <c r="F570" s="22" t="str">
        <f t="shared" si="2"/>
        <v/>
      </c>
    </row>
    <row r="571">
      <c r="A571" s="18" t="str">
        <f>'Cashflow Schedule'!B571</f>
        <v/>
      </c>
      <c r="B571" s="18" t="str">
        <f>'Cashflow Schedule'!E571</f>
        <v/>
      </c>
      <c r="C571" s="22" t="str">
        <f>IF(A571="","",Inputs!$C$6*EXP((Inputs!$C$8-Inputs!$C$7)*A571))</f>
        <v/>
      </c>
      <c r="D571" s="22" t="str">
        <f t="shared" si="1"/>
        <v/>
      </c>
      <c r="E571" s="21" t="str">
        <f>IF(A571="","",EXP(-Inputs!$C$8*A571))</f>
        <v/>
      </c>
      <c r="F571" s="22" t="str">
        <f t="shared" si="2"/>
        <v/>
      </c>
    </row>
    <row r="572">
      <c r="A572" s="18" t="str">
        <f>'Cashflow Schedule'!B572</f>
        <v/>
      </c>
      <c r="B572" s="18" t="str">
        <f>'Cashflow Schedule'!E572</f>
        <v/>
      </c>
      <c r="C572" s="22" t="str">
        <f>IF(A572="","",Inputs!$C$6*EXP((Inputs!$C$8-Inputs!$C$7)*A572))</f>
        <v/>
      </c>
      <c r="D572" s="22" t="str">
        <f t="shared" si="1"/>
        <v/>
      </c>
      <c r="E572" s="21" t="str">
        <f>IF(A572="","",EXP(-Inputs!$C$8*A572))</f>
        <v/>
      </c>
      <c r="F572" s="22" t="str">
        <f t="shared" si="2"/>
        <v/>
      </c>
    </row>
    <row r="573">
      <c r="A573" s="18" t="str">
        <f>'Cashflow Schedule'!B573</f>
        <v/>
      </c>
      <c r="B573" s="18" t="str">
        <f>'Cashflow Schedule'!E573</f>
        <v/>
      </c>
      <c r="C573" s="22" t="str">
        <f>IF(A573="","",Inputs!$C$6*EXP((Inputs!$C$8-Inputs!$C$7)*A573))</f>
        <v/>
      </c>
      <c r="D573" s="22" t="str">
        <f t="shared" si="1"/>
        <v/>
      </c>
      <c r="E573" s="21" t="str">
        <f>IF(A573="","",EXP(-Inputs!$C$8*A573))</f>
        <v/>
      </c>
      <c r="F573" s="22" t="str">
        <f t="shared" si="2"/>
        <v/>
      </c>
    </row>
    <row r="574">
      <c r="A574" s="18" t="str">
        <f>'Cashflow Schedule'!B574</f>
        <v/>
      </c>
      <c r="B574" s="18" t="str">
        <f>'Cashflow Schedule'!E574</f>
        <v/>
      </c>
      <c r="C574" s="22" t="str">
        <f>IF(A574="","",Inputs!$C$6*EXP((Inputs!$C$8-Inputs!$C$7)*A574))</f>
        <v/>
      </c>
      <c r="D574" s="22" t="str">
        <f t="shared" si="1"/>
        <v/>
      </c>
      <c r="E574" s="21" t="str">
        <f>IF(A574="","",EXP(-Inputs!$C$8*A574))</f>
        <v/>
      </c>
      <c r="F574" s="22" t="str">
        <f t="shared" si="2"/>
        <v/>
      </c>
    </row>
    <row r="575">
      <c r="A575" s="18" t="str">
        <f>'Cashflow Schedule'!B575</f>
        <v/>
      </c>
      <c r="B575" s="18" t="str">
        <f>'Cashflow Schedule'!E575</f>
        <v/>
      </c>
      <c r="C575" s="22" t="str">
        <f>IF(A575="","",Inputs!$C$6*EXP((Inputs!$C$8-Inputs!$C$7)*A575))</f>
        <v/>
      </c>
      <c r="D575" s="22" t="str">
        <f t="shared" si="1"/>
        <v/>
      </c>
      <c r="E575" s="21" t="str">
        <f>IF(A575="","",EXP(-Inputs!$C$8*A575))</f>
        <v/>
      </c>
      <c r="F575" s="22" t="str">
        <f t="shared" si="2"/>
        <v/>
      </c>
    </row>
    <row r="576">
      <c r="A576" s="18" t="str">
        <f>'Cashflow Schedule'!B576</f>
        <v/>
      </c>
      <c r="B576" s="18" t="str">
        <f>'Cashflow Schedule'!E576</f>
        <v/>
      </c>
      <c r="C576" s="22" t="str">
        <f>IF(A576="","",Inputs!$C$6*EXP((Inputs!$C$8-Inputs!$C$7)*A576))</f>
        <v/>
      </c>
      <c r="D576" s="22" t="str">
        <f t="shared" si="1"/>
        <v/>
      </c>
      <c r="E576" s="21" t="str">
        <f>IF(A576="","",EXP(-Inputs!$C$8*A576))</f>
        <v/>
      </c>
      <c r="F576" s="22" t="str">
        <f t="shared" si="2"/>
        <v/>
      </c>
    </row>
    <row r="577">
      <c r="A577" s="18" t="str">
        <f>'Cashflow Schedule'!B577</f>
        <v/>
      </c>
      <c r="B577" s="18" t="str">
        <f>'Cashflow Schedule'!E577</f>
        <v/>
      </c>
      <c r="C577" s="22" t="str">
        <f>IF(A577="","",Inputs!$C$6*EXP((Inputs!$C$8-Inputs!$C$7)*A577))</f>
        <v/>
      </c>
      <c r="D577" s="22" t="str">
        <f t="shared" si="1"/>
        <v/>
      </c>
      <c r="E577" s="21" t="str">
        <f>IF(A577="","",EXP(-Inputs!$C$8*A577))</f>
        <v/>
      </c>
      <c r="F577" s="22" t="str">
        <f t="shared" si="2"/>
        <v/>
      </c>
    </row>
    <row r="578">
      <c r="A578" s="18" t="str">
        <f>'Cashflow Schedule'!B578</f>
        <v/>
      </c>
      <c r="B578" s="18" t="str">
        <f>'Cashflow Schedule'!E578</f>
        <v/>
      </c>
      <c r="C578" s="22" t="str">
        <f>IF(A578="","",Inputs!$C$6*EXP((Inputs!$C$8-Inputs!$C$7)*A578))</f>
        <v/>
      </c>
      <c r="D578" s="22" t="str">
        <f t="shared" si="1"/>
        <v/>
      </c>
      <c r="E578" s="21" t="str">
        <f>IF(A578="","",EXP(-Inputs!$C$8*A578))</f>
        <v/>
      </c>
      <c r="F578" s="22" t="str">
        <f t="shared" si="2"/>
        <v/>
      </c>
    </row>
    <row r="579">
      <c r="A579" s="18" t="str">
        <f>'Cashflow Schedule'!B579</f>
        <v/>
      </c>
      <c r="B579" s="18" t="str">
        <f>'Cashflow Schedule'!E579</f>
        <v/>
      </c>
      <c r="C579" s="22" t="str">
        <f>IF(A579="","",Inputs!$C$6*EXP((Inputs!$C$8-Inputs!$C$7)*A579))</f>
        <v/>
      </c>
      <c r="D579" s="22" t="str">
        <f t="shared" si="1"/>
        <v/>
      </c>
      <c r="E579" s="21" t="str">
        <f>IF(A579="","",EXP(-Inputs!$C$8*A579))</f>
        <v/>
      </c>
      <c r="F579" s="22" t="str">
        <f t="shared" si="2"/>
        <v/>
      </c>
    </row>
    <row r="580">
      <c r="A580" s="18" t="str">
        <f>'Cashflow Schedule'!B580</f>
        <v/>
      </c>
      <c r="B580" s="18" t="str">
        <f>'Cashflow Schedule'!E580</f>
        <v/>
      </c>
      <c r="C580" s="22" t="str">
        <f>IF(A580="","",Inputs!$C$6*EXP((Inputs!$C$8-Inputs!$C$7)*A580))</f>
        <v/>
      </c>
      <c r="D580" s="22" t="str">
        <f t="shared" si="1"/>
        <v/>
      </c>
      <c r="E580" s="21" t="str">
        <f>IF(A580="","",EXP(-Inputs!$C$8*A580))</f>
        <v/>
      </c>
      <c r="F580" s="22" t="str">
        <f t="shared" si="2"/>
        <v/>
      </c>
    </row>
    <row r="581">
      <c r="A581" s="18" t="str">
        <f>'Cashflow Schedule'!B581</f>
        <v/>
      </c>
      <c r="B581" s="18" t="str">
        <f>'Cashflow Schedule'!E581</f>
        <v/>
      </c>
      <c r="C581" s="22" t="str">
        <f>IF(A581="","",Inputs!$C$6*EXP((Inputs!$C$8-Inputs!$C$7)*A581))</f>
        <v/>
      </c>
      <c r="D581" s="22" t="str">
        <f t="shared" si="1"/>
        <v/>
      </c>
      <c r="E581" s="21" t="str">
        <f>IF(A581="","",EXP(-Inputs!$C$8*A581))</f>
        <v/>
      </c>
      <c r="F581" s="22" t="str">
        <f t="shared" si="2"/>
        <v/>
      </c>
    </row>
    <row r="582">
      <c r="A582" s="18" t="str">
        <f>'Cashflow Schedule'!B582</f>
        <v/>
      </c>
      <c r="B582" s="18" t="str">
        <f>'Cashflow Schedule'!E582</f>
        <v/>
      </c>
      <c r="C582" s="22" t="str">
        <f>IF(A582="","",Inputs!$C$6*EXP((Inputs!$C$8-Inputs!$C$7)*A582))</f>
        <v/>
      </c>
      <c r="D582" s="22" t="str">
        <f t="shared" si="1"/>
        <v/>
      </c>
      <c r="E582" s="21" t="str">
        <f>IF(A582="","",EXP(-Inputs!$C$8*A582))</f>
        <v/>
      </c>
      <c r="F582" s="22" t="str">
        <f t="shared" si="2"/>
        <v/>
      </c>
    </row>
    <row r="583">
      <c r="A583" s="18" t="str">
        <f>'Cashflow Schedule'!B583</f>
        <v/>
      </c>
      <c r="B583" s="18" t="str">
        <f>'Cashflow Schedule'!E583</f>
        <v/>
      </c>
      <c r="C583" s="22" t="str">
        <f>IF(A583="","",Inputs!$C$6*EXP((Inputs!$C$8-Inputs!$C$7)*A583))</f>
        <v/>
      </c>
      <c r="D583" s="22" t="str">
        <f t="shared" si="1"/>
        <v/>
      </c>
      <c r="E583" s="21" t="str">
        <f>IF(A583="","",EXP(-Inputs!$C$8*A583))</f>
        <v/>
      </c>
      <c r="F583" s="22" t="str">
        <f t="shared" si="2"/>
        <v/>
      </c>
    </row>
    <row r="584">
      <c r="A584" s="18" t="str">
        <f>'Cashflow Schedule'!B584</f>
        <v/>
      </c>
      <c r="B584" s="18" t="str">
        <f>'Cashflow Schedule'!E584</f>
        <v/>
      </c>
      <c r="C584" s="22" t="str">
        <f>IF(A584="","",Inputs!$C$6*EXP((Inputs!$C$8-Inputs!$C$7)*A584))</f>
        <v/>
      </c>
      <c r="D584" s="22" t="str">
        <f t="shared" si="1"/>
        <v/>
      </c>
      <c r="E584" s="21" t="str">
        <f>IF(A584="","",EXP(-Inputs!$C$8*A584))</f>
        <v/>
      </c>
      <c r="F584" s="22" t="str">
        <f t="shared" si="2"/>
        <v/>
      </c>
    </row>
    <row r="585">
      <c r="A585" s="18" t="str">
        <f>'Cashflow Schedule'!B585</f>
        <v/>
      </c>
      <c r="B585" s="18" t="str">
        <f>'Cashflow Schedule'!E585</f>
        <v/>
      </c>
      <c r="C585" s="22" t="str">
        <f>IF(A585="","",Inputs!$C$6*EXP((Inputs!$C$8-Inputs!$C$7)*A585))</f>
        <v/>
      </c>
      <c r="D585" s="22" t="str">
        <f t="shared" si="1"/>
        <v/>
      </c>
      <c r="E585" s="21" t="str">
        <f>IF(A585="","",EXP(-Inputs!$C$8*A585))</f>
        <v/>
      </c>
      <c r="F585" s="22" t="str">
        <f t="shared" si="2"/>
        <v/>
      </c>
    </row>
    <row r="586">
      <c r="A586" s="18" t="str">
        <f>'Cashflow Schedule'!B586</f>
        <v/>
      </c>
      <c r="B586" s="18" t="str">
        <f>'Cashflow Schedule'!E586</f>
        <v/>
      </c>
      <c r="C586" s="22" t="str">
        <f>IF(A586="","",Inputs!$C$6*EXP((Inputs!$C$8-Inputs!$C$7)*A586))</f>
        <v/>
      </c>
      <c r="D586" s="22" t="str">
        <f t="shared" si="1"/>
        <v/>
      </c>
      <c r="E586" s="21" t="str">
        <f>IF(A586="","",EXP(-Inputs!$C$8*A586))</f>
        <v/>
      </c>
      <c r="F586" s="22" t="str">
        <f t="shared" si="2"/>
        <v/>
      </c>
    </row>
    <row r="587">
      <c r="A587" s="18" t="str">
        <f>'Cashflow Schedule'!B587</f>
        <v/>
      </c>
      <c r="B587" s="18" t="str">
        <f>'Cashflow Schedule'!E587</f>
        <v/>
      </c>
      <c r="C587" s="22" t="str">
        <f>IF(A587="","",Inputs!$C$6*EXP((Inputs!$C$8-Inputs!$C$7)*A587))</f>
        <v/>
      </c>
      <c r="D587" s="22" t="str">
        <f t="shared" si="1"/>
        <v/>
      </c>
      <c r="E587" s="21" t="str">
        <f>IF(A587="","",EXP(-Inputs!$C$8*A587))</f>
        <v/>
      </c>
      <c r="F587" s="22" t="str">
        <f t="shared" si="2"/>
        <v/>
      </c>
    </row>
    <row r="588">
      <c r="A588" s="18" t="str">
        <f>'Cashflow Schedule'!B588</f>
        <v/>
      </c>
      <c r="B588" s="18" t="str">
        <f>'Cashflow Schedule'!E588</f>
        <v/>
      </c>
      <c r="C588" s="22" t="str">
        <f>IF(A588="","",Inputs!$C$6*EXP((Inputs!$C$8-Inputs!$C$7)*A588))</f>
        <v/>
      </c>
      <c r="D588" s="22" t="str">
        <f t="shared" si="1"/>
        <v/>
      </c>
      <c r="E588" s="21" t="str">
        <f>IF(A588="","",EXP(-Inputs!$C$8*A588))</f>
        <v/>
      </c>
      <c r="F588" s="22" t="str">
        <f t="shared" si="2"/>
        <v/>
      </c>
    </row>
    <row r="589">
      <c r="A589" s="18" t="str">
        <f>'Cashflow Schedule'!B589</f>
        <v/>
      </c>
      <c r="B589" s="18" t="str">
        <f>'Cashflow Schedule'!E589</f>
        <v/>
      </c>
      <c r="C589" s="22" t="str">
        <f>IF(A589="","",Inputs!$C$6*EXP((Inputs!$C$8-Inputs!$C$7)*A589))</f>
        <v/>
      </c>
      <c r="D589" s="22" t="str">
        <f t="shared" si="1"/>
        <v/>
      </c>
      <c r="E589" s="21" t="str">
        <f>IF(A589="","",EXP(-Inputs!$C$8*A589))</f>
        <v/>
      </c>
      <c r="F589" s="22" t="str">
        <f t="shared" si="2"/>
        <v/>
      </c>
    </row>
    <row r="590">
      <c r="A590" s="18" t="str">
        <f>'Cashflow Schedule'!B590</f>
        <v/>
      </c>
      <c r="B590" s="18" t="str">
        <f>'Cashflow Schedule'!E590</f>
        <v/>
      </c>
      <c r="C590" s="22" t="str">
        <f>IF(A590="","",Inputs!$C$6*EXP((Inputs!$C$8-Inputs!$C$7)*A590))</f>
        <v/>
      </c>
      <c r="D590" s="22" t="str">
        <f t="shared" si="1"/>
        <v/>
      </c>
      <c r="E590" s="21" t="str">
        <f>IF(A590="","",EXP(-Inputs!$C$8*A590))</f>
        <v/>
      </c>
      <c r="F590" s="22" t="str">
        <f t="shared" si="2"/>
        <v/>
      </c>
    </row>
    <row r="591">
      <c r="A591" s="18" t="str">
        <f>'Cashflow Schedule'!B591</f>
        <v/>
      </c>
      <c r="B591" s="18" t="str">
        <f>'Cashflow Schedule'!E591</f>
        <v/>
      </c>
      <c r="C591" s="22" t="str">
        <f>IF(A591="","",Inputs!$C$6*EXP((Inputs!$C$8-Inputs!$C$7)*A591))</f>
        <v/>
      </c>
      <c r="D591" s="22" t="str">
        <f t="shared" si="1"/>
        <v/>
      </c>
      <c r="E591" s="21" t="str">
        <f>IF(A591="","",EXP(-Inputs!$C$8*A591))</f>
        <v/>
      </c>
      <c r="F591" s="22" t="str">
        <f t="shared" si="2"/>
        <v/>
      </c>
    </row>
    <row r="592">
      <c r="A592" s="18" t="str">
        <f>'Cashflow Schedule'!B592</f>
        <v/>
      </c>
      <c r="B592" s="18" t="str">
        <f>'Cashflow Schedule'!E592</f>
        <v/>
      </c>
      <c r="C592" s="22" t="str">
        <f>IF(A592="","",Inputs!$C$6*EXP((Inputs!$C$8-Inputs!$C$7)*A592))</f>
        <v/>
      </c>
      <c r="D592" s="22" t="str">
        <f t="shared" si="1"/>
        <v/>
      </c>
      <c r="E592" s="21" t="str">
        <f>IF(A592="","",EXP(-Inputs!$C$8*A592))</f>
        <v/>
      </c>
      <c r="F592" s="22" t="str">
        <f t="shared" si="2"/>
        <v/>
      </c>
    </row>
    <row r="593">
      <c r="A593" s="18" t="str">
        <f>'Cashflow Schedule'!B593</f>
        <v/>
      </c>
      <c r="B593" s="18" t="str">
        <f>'Cashflow Schedule'!E593</f>
        <v/>
      </c>
      <c r="C593" s="22" t="str">
        <f>IF(A593="","",Inputs!$C$6*EXP((Inputs!$C$8-Inputs!$C$7)*A593))</f>
        <v/>
      </c>
      <c r="D593" s="22" t="str">
        <f t="shared" si="1"/>
        <v/>
      </c>
      <c r="E593" s="21" t="str">
        <f>IF(A593="","",EXP(-Inputs!$C$8*A593))</f>
        <v/>
      </c>
      <c r="F593" s="22" t="str">
        <f t="shared" si="2"/>
        <v/>
      </c>
    </row>
    <row r="594">
      <c r="A594" s="18" t="str">
        <f>'Cashflow Schedule'!B594</f>
        <v/>
      </c>
      <c r="B594" s="18" t="str">
        <f>'Cashflow Schedule'!E594</f>
        <v/>
      </c>
      <c r="C594" s="22" t="str">
        <f>IF(A594="","",Inputs!$C$6*EXP((Inputs!$C$8-Inputs!$C$7)*A594))</f>
        <v/>
      </c>
      <c r="D594" s="22" t="str">
        <f t="shared" si="1"/>
        <v/>
      </c>
      <c r="E594" s="21" t="str">
        <f>IF(A594="","",EXP(-Inputs!$C$8*A594))</f>
        <v/>
      </c>
      <c r="F594" s="22" t="str">
        <f t="shared" si="2"/>
        <v/>
      </c>
    </row>
    <row r="595">
      <c r="A595" s="18" t="str">
        <f>'Cashflow Schedule'!B595</f>
        <v/>
      </c>
      <c r="B595" s="18" t="str">
        <f>'Cashflow Schedule'!E595</f>
        <v/>
      </c>
      <c r="C595" s="22" t="str">
        <f>IF(A595="","",Inputs!$C$6*EXP((Inputs!$C$8-Inputs!$C$7)*A595))</f>
        <v/>
      </c>
      <c r="D595" s="22" t="str">
        <f t="shared" si="1"/>
        <v/>
      </c>
      <c r="E595" s="21" t="str">
        <f>IF(A595="","",EXP(-Inputs!$C$8*A595))</f>
        <v/>
      </c>
      <c r="F595" s="22" t="str">
        <f t="shared" si="2"/>
        <v/>
      </c>
    </row>
    <row r="596">
      <c r="A596" s="18" t="str">
        <f>'Cashflow Schedule'!B596</f>
        <v/>
      </c>
      <c r="B596" s="18" t="str">
        <f>'Cashflow Schedule'!E596</f>
        <v/>
      </c>
      <c r="C596" s="22" t="str">
        <f>IF(A596="","",Inputs!$C$6*EXP((Inputs!$C$8-Inputs!$C$7)*A596))</f>
        <v/>
      </c>
      <c r="D596" s="22" t="str">
        <f t="shared" si="1"/>
        <v/>
      </c>
      <c r="E596" s="21" t="str">
        <f>IF(A596="","",EXP(-Inputs!$C$8*A596))</f>
        <v/>
      </c>
      <c r="F596" s="22" t="str">
        <f t="shared" si="2"/>
        <v/>
      </c>
    </row>
    <row r="597">
      <c r="A597" s="18" t="str">
        <f>'Cashflow Schedule'!B597</f>
        <v/>
      </c>
      <c r="B597" s="18" t="str">
        <f>'Cashflow Schedule'!E597</f>
        <v/>
      </c>
      <c r="C597" s="22" t="str">
        <f>IF(A597="","",Inputs!$C$6*EXP((Inputs!$C$8-Inputs!$C$7)*A597))</f>
        <v/>
      </c>
      <c r="D597" s="22" t="str">
        <f t="shared" si="1"/>
        <v/>
      </c>
      <c r="E597" s="21" t="str">
        <f>IF(A597="","",EXP(-Inputs!$C$8*A597))</f>
        <v/>
      </c>
      <c r="F597" s="22" t="str">
        <f t="shared" si="2"/>
        <v/>
      </c>
    </row>
    <row r="598">
      <c r="A598" s="18" t="str">
        <f>'Cashflow Schedule'!B598</f>
        <v/>
      </c>
      <c r="B598" s="18" t="str">
        <f>'Cashflow Schedule'!E598</f>
        <v/>
      </c>
      <c r="C598" s="22" t="str">
        <f>IF(A598="","",Inputs!$C$6*EXP((Inputs!$C$8-Inputs!$C$7)*A598))</f>
        <v/>
      </c>
      <c r="D598" s="22" t="str">
        <f t="shared" si="1"/>
        <v/>
      </c>
      <c r="E598" s="21" t="str">
        <f>IF(A598="","",EXP(-Inputs!$C$8*A598))</f>
        <v/>
      </c>
      <c r="F598" s="22" t="str">
        <f t="shared" si="2"/>
        <v/>
      </c>
    </row>
    <row r="599">
      <c r="A599" s="18" t="str">
        <f>'Cashflow Schedule'!B599</f>
        <v/>
      </c>
      <c r="B599" s="18" t="str">
        <f>'Cashflow Schedule'!E599</f>
        <v/>
      </c>
      <c r="C599" s="22" t="str">
        <f>IF(A599="","",Inputs!$C$6*EXP((Inputs!$C$8-Inputs!$C$7)*A599))</f>
        <v/>
      </c>
      <c r="D599" s="22" t="str">
        <f t="shared" si="1"/>
        <v/>
      </c>
      <c r="E599" s="21" t="str">
        <f>IF(A599="","",EXP(-Inputs!$C$8*A599))</f>
        <v/>
      </c>
      <c r="F599" s="22" t="str">
        <f t="shared" si="2"/>
        <v/>
      </c>
    </row>
    <row r="600">
      <c r="A600" s="18" t="str">
        <f>'Cashflow Schedule'!B600</f>
        <v/>
      </c>
      <c r="B600" s="18" t="str">
        <f>'Cashflow Schedule'!E600</f>
        <v/>
      </c>
      <c r="C600" s="22" t="str">
        <f>IF(A600="","",Inputs!$C$6*EXP((Inputs!$C$8-Inputs!$C$7)*A600))</f>
        <v/>
      </c>
      <c r="D600" s="22" t="str">
        <f t="shared" si="1"/>
        <v/>
      </c>
      <c r="E600" s="21" t="str">
        <f>IF(A600="","",EXP(-Inputs!$C$8*A600))</f>
        <v/>
      </c>
      <c r="F600" s="22" t="str">
        <f t="shared" si="2"/>
        <v/>
      </c>
    </row>
    <row r="601">
      <c r="A601" s="18" t="str">
        <f>'Cashflow Schedule'!B601</f>
        <v/>
      </c>
      <c r="B601" s="18" t="str">
        <f>'Cashflow Schedule'!E601</f>
        <v/>
      </c>
      <c r="C601" s="22" t="str">
        <f>IF(A601="","",Inputs!$C$6*EXP((Inputs!$C$8-Inputs!$C$7)*A601))</f>
        <v/>
      </c>
      <c r="D601" s="22" t="str">
        <f t="shared" si="1"/>
        <v/>
      </c>
      <c r="E601" s="21" t="str">
        <f>IF(A601="","",EXP(-Inputs!$C$8*A601))</f>
        <v/>
      </c>
      <c r="F601" s="22" t="str">
        <f t="shared" si="2"/>
        <v/>
      </c>
    </row>
    <row r="602">
      <c r="A602" s="18" t="str">
        <f>'Cashflow Schedule'!B602</f>
        <v/>
      </c>
      <c r="B602" s="18" t="str">
        <f>'Cashflow Schedule'!E602</f>
        <v/>
      </c>
      <c r="C602" s="22" t="str">
        <f>IF(A602="","",Inputs!$C$6*EXP((Inputs!$C$8-Inputs!$C$7)*A602))</f>
        <v/>
      </c>
      <c r="D602" s="22" t="str">
        <f t="shared" si="1"/>
        <v/>
      </c>
      <c r="E602" s="21" t="str">
        <f>IF(A602="","",EXP(-Inputs!$C$8*A602))</f>
        <v/>
      </c>
      <c r="F602" s="22" t="str">
        <f t="shared" si="2"/>
        <v/>
      </c>
    </row>
    <row r="603">
      <c r="A603" s="18" t="str">
        <f>'Cashflow Schedule'!B603</f>
        <v/>
      </c>
      <c r="B603" s="18" t="str">
        <f>'Cashflow Schedule'!E603</f>
        <v/>
      </c>
      <c r="C603" s="22" t="str">
        <f>IF(A603="","",Inputs!$C$6*EXP((Inputs!$C$8-Inputs!$C$7)*A603))</f>
        <v/>
      </c>
      <c r="D603" s="22" t="str">
        <f t="shared" si="1"/>
        <v/>
      </c>
      <c r="E603" s="21" t="str">
        <f>IF(A603="","",EXP(-Inputs!$C$8*A603))</f>
        <v/>
      </c>
      <c r="F603" s="22" t="str">
        <f t="shared" si="2"/>
        <v/>
      </c>
    </row>
    <row r="604">
      <c r="A604" s="18" t="str">
        <f>'Cashflow Schedule'!B604</f>
        <v/>
      </c>
      <c r="B604" s="18" t="str">
        <f>'Cashflow Schedule'!E604</f>
        <v/>
      </c>
      <c r="C604" s="22" t="str">
        <f>IF(A604="","",Inputs!$C$6*EXP((Inputs!$C$8-Inputs!$C$7)*A604))</f>
        <v/>
      </c>
      <c r="D604" s="22" t="str">
        <f t="shared" si="1"/>
        <v/>
      </c>
      <c r="E604" s="21" t="str">
        <f>IF(A604="","",EXP(-Inputs!$C$8*A604))</f>
        <v/>
      </c>
      <c r="F604" s="22" t="str">
        <f t="shared" si="2"/>
        <v/>
      </c>
    </row>
    <row r="605">
      <c r="A605" s="18" t="str">
        <f>'Cashflow Schedule'!B605</f>
        <v/>
      </c>
      <c r="B605" s="18" t="str">
        <f>'Cashflow Schedule'!E605</f>
        <v/>
      </c>
      <c r="C605" s="22" t="str">
        <f>IF(A605="","",Inputs!$C$6*EXP((Inputs!$C$8-Inputs!$C$7)*A605))</f>
        <v/>
      </c>
      <c r="D605" s="22" t="str">
        <f t="shared" si="1"/>
        <v/>
      </c>
      <c r="E605" s="21" t="str">
        <f>IF(A605="","",EXP(-Inputs!$C$8*A605))</f>
        <v/>
      </c>
      <c r="F605" s="22" t="str">
        <f t="shared" si="2"/>
        <v/>
      </c>
    </row>
    <row r="606">
      <c r="A606" s="18" t="str">
        <f>'Cashflow Schedule'!B606</f>
        <v/>
      </c>
      <c r="B606" s="18" t="str">
        <f>'Cashflow Schedule'!E606</f>
        <v/>
      </c>
      <c r="C606" s="22" t="str">
        <f>IF(A606="","",Inputs!$C$6*EXP((Inputs!$C$8-Inputs!$C$7)*A606))</f>
        <v/>
      </c>
      <c r="D606" s="22" t="str">
        <f t="shared" si="1"/>
        <v/>
      </c>
      <c r="E606" s="21" t="str">
        <f>IF(A606="","",EXP(-Inputs!$C$8*A606))</f>
        <v/>
      </c>
      <c r="F606" s="22" t="str">
        <f t="shared" si="2"/>
        <v/>
      </c>
    </row>
    <row r="607">
      <c r="A607" s="18" t="str">
        <f>'Cashflow Schedule'!B607</f>
        <v/>
      </c>
      <c r="B607" s="18" t="str">
        <f>'Cashflow Schedule'!E607</f>
        <v/>
      </c>
      <c r="C607" s="22" t="str">
        <f>IF(A607="","",Inputs!$C$6*EXP((Inputs!$C$8-Inputs!$C$7)*A607))</f>
        <v/>
      </c>
      <c r="D607" s="22" t="str">
        <f t="shared" si="1"/>
        <v/>
      </c>
      <c r="E607" s="21" t="str">
        <f>IF(A607="","",EXP(-Inputs!$C$8*A607))</f>
        <v/>
      </c>
      <c r="F607" s="22" t="str">
        <f t="shared" si="2"/>
        <v/>
      </c>
    </row>
    <row r="608">
      <c r="A608" s="18" t="str">
        <f>'Cashflow Schedule'!B608</f>
        <v/>
      </c>
      <c r="B608" s="18" t="str">
        <f>'Cashflow Schedule'!E608</f>
        <v/>
      </c>
      <c r="C608" s="22" t="str">
        <f>IF(A608="","",Inputs!$C$6*EXP((Inputs!$C$8-Inputs!$C$7)*A608))</f>
        <v/>
      </c>
      <c r="D608" s="22" t="str">
        <f t="shared" si="1"/>
        <v/>
      </c>
      <c r="E608" s="21" t="str">
        <f>IF(A608="","",EXP(-Inputs!$C$8*A608))</f>
        <v/>
      </c>
      <c r="F608" s="22" t="str">
        <f t="shared" si="2"/>
        <v/>
      </c>
    </row>
    <row r="609">
      <c r="A609" s="18" t="str">
        <f>'Cashflow Schedule'!B609</f>
        <v/>
      </c>
      <c r="B609" s="18" t="str">
        <f>'Cashflow Schedule'!E609</f>
        <v/>
      </c>
      <c r="C609" s="22" t="str">
        <f>IF(A609="","",Inputs!$C$6*EXP((Inputs!$C$8-Inputs!$C$7)*A609))</f>
        <v/>
      </c>
      <c r="D609" s="22" t="str">
        <f t="shared" si="1"/>
        <v/>
      </c>
      <c r="E609" s="21" t="str">
        <f>IF(A609="","",EXP(-Inputs!$C$8*A609))</f>
        <v/>
      </c>
      <c r="F609" s="22" t="str">
        <f t="shared" si="2"/>
        <v/>
      </c>
    </row>
    <row r="610">
      <c r="A610" s="18" t="str">
        <f>'Cashflow Schedule'!B610</f>
        <v/>
      </c>
      <c r="B610" s="18" t="str">
        <f>'Cashflow Schedule'!E610</f>
        <v/>
      </c>
      <c r="C610" s="22" t="str">
        <f>IF(A610="","",Inputs!$C$6*EXP((Inputs!$C$8-Inputs!$C$7)*A610))</f>
        <v/>
      </c>
      <c r="D610" s="22" t="str">
        <f t="shared" si="1"/>
        <v/>
      </c>
      <c r="E610" s="21" t="str">
        <f>IF(A610="","",EXP(-Inputs!$C$8*A610))</f>
        <v/>
      </c>
      <c r="F610" s="22" t="str">
        <f t="shared" si="2"/>
        <v/>
      </c>
    </row>
    <row r="611">
      <c r="A611" s="18" t="str">
        <f>'Cashflow Schedule'!B611</f>
        <v/>
      </c>
      <c r="B611" s="18" t="str">
        <f>'Cashflow Schedule'!E611</f>
        <v/>
      </c>
      <c r="C611" s="22" t="str">
        <f>IF(A611="","",Inputs!$C$6*EXP((Inputs!$C$8-Inputs!$C$7)*A611))</f>
        <v/>
      </c>
      <c r="D611" s="22" t="str">
        <f t="shared" si="1"/>
        <v/>
      </c>
      <c r="E611" s="21" t="str">
        <f>IF(A611="","",EXP(-Inputs!$C$8*A611))</f>
        <v/>
      </c>
      <c r="F611" s="22" t="str">
        <f t="shared" si="2"/>
        <v/>
      </c>
    </row>
    <row r="612">
      <c r="A612" s="18" t="str">
        <f>'Cashflow Schedule'!B612</f>
        <v/>
      </c>
      <c r="B612" s="18" t="str">
        <f>'Cashflow Schedule'!E612</f>
        <v/>
      </c>
      <c r="C612" s="22" t="str">
        <f>IF(A612="","",Inputs!$C$6*EXP((Inputs!$C$8-Inputs!$C$7)*A612))</f>
        <v/>
      </c>
      <c r="D612" s="22" t="str">
        <f t="shared" si="1"/>
        <v/>
      </c>
      <c r="E612" s="21" t="str">
        <f>IF(A612="","",EXP(-Inputs!$C$8*A612))</f>
        <v/>
      </c>
      <c r="F612" s="22" t="str">
        <f t="shared" si="2"/>
        <v/>
      </c>
    </row>
    <row r="613">
      <c r="A613" s="18" t="str">
        <f>'Cashflow Schedule'!B613</f>
        <v/>
      </c>
      <c r="B613" s="18" t="str">
        <f>'Cashflow Schedule'!E613</f>
        <v/>
      </c>
      <c r="C613" s="22" t="str">
        <f>IF(A613="","",Inputs!$C$6*EXP((Inputs!$C$8-Inputs!$C$7)*A613))</f>
        <v/>
      </c>
      <c r="D613" s="22" t="str">
        <f t="shared" si="1"/>
        <v/>
      </c>
      <c r="E613" s="21" t="str">
        <f>IF(A613="","",EXP(-Inputs!$C$8*A613))</f>
        <v/>
      </c>
      <c r="F613" s="22" t="str">
        <f t="shared" si="2"/>
        <v/>
      </c>
    </row>
    <row r="614">
      <c r="A614" s="18" t="str">
        <f>'Cashflow Schedule'!B614</f>
        <v/>
      </c>
      <c r="B614" s="18" t="str">
        <f>'Cashflow Schedule'!E614</f>
        <v/>
      </c>
      <c r="C614" s="22" t="str">
        <f>IF(A614="","",Inputs!$C$6*EXP((Inputs!$C$8-Inputs!$C$7)*A614))</f>
        <v/>
      </c>
      <c r="D614" s="22" t="str">
        <f t="shared" si="1"/>
        <v/>
      </c>
      <c r="E614" s="21" t="str">
        <f>IF(A614="","",EXP(-Inputs!$C$8*A614))</f>
        <v/>
      </c>
      <c r="F614" s="22" t="str">
        <f t="shared" si="2"/>
        <v/>
      </c>
    </row>
    <row r="615">
      <c r="A615" s="18" t="str">
        <f>'Cashflow Schedule'!B615</f>
        <v/>
      </c>
      <c r="B615" s="18" t="str">
        <f>'Cashflow Schedule'!E615</f>
        <v/>
      </c>
      <c r="C615" s="22" t="str">
        <f>IF(A615="","",Inputs!$C$6*EXP((Inputs!$C$8-Inputs!$C$7)*A615))</f>
        <v/>
      </c>
      <c r="D615" s="22" t="str">
        <f t="shared" si="1"/>
        <v/>
      </c>
      <c r="E615" s="21" t="str">
        <f>IF(A615="","",EXP(-Inputs!$C$8*A615))</f>
        <v/>
      </c>
      <c r="F615" s="22" t="str">
        <f t="shared" si="2"/>
        <v/>
      </c>
    </row>
    <row r="616">
      <c r="A616" s="18" t="str">
        <f>'Cashflow Schedule'!B616</f>
        <v/>
      </c>
      <c r="B616" s="18" t="str">
        <f>'Cashflow Schedule'!E616</f>
        <v/>
      </c>
      <c r="C616" s="22" t="str">
        <f>IF(A616="","",Inputs!$C$6*EXP((Inputs!$C$8-Inputs!$C$7)*A616))</f>
        <v/>
      </c>
      <c r="D616" s="22" t="str">
        <f t="shared" si="1"/>
        <v/>
      </c>
      <c r="E616" s="21" t="str">
        <f>IF(A616="","",EXP(-Inputs!$C$8*A616))</f>
        <v/>
      </c>
      <c r="F616" s="22" t="str">
        <f t="shared" si="2"/>
        <v/>
      </c>
    </row>
    <row r="617">
      <c r="A617" s="18" t="str">
        <f>'Cashflow Schedule'!B617</f>
        <v/>
      </c>
      <c r="B617" s="18" t="str">
        <f>'Cashflow Schedule'!E617</f>
        <v/>
      </c>
      <c r="C617" s="22" t="str">
        <f>IF(A617="","",Inputs!$C$6*EXP((Inputs!$C$8-Inputs!$C$7)*A617))</f>
        <v/>
      </c>
      <c r="D617" s="22" t="str">
        <f t="shared" si="1"/>
        <v/>
      </c>
      <c r="E617" s="21" t="str">
        <f>IF(A617="","",EXP(-Inputs!$C$8*A617))</f>
        <v/>
      </c>
      <c r="F617" s="22" t="str">
        <f t="shared" si="2"/>
        <v/>
      </c>
    </row>
    <row r="618">
      <c r="A618" s="18" t="str">
        <f>'Cashflow Schedule'!B618</f>
        <v/>
      </c>
      <c r="B618" s="18" t="str">
        <f>'Cashflow Schedule'!E618</f>
        <v/>
      </c>
      <c r="C618" s="22" t="str">
        <f>IF(A618="","",Inputs!$C$6*EXP((Inputs!$C$8-Inputs!$C$7)*A618))</f>
        <v/>
      </c>
      <c r="D618" s="22" t="str">
        <f t="shared" si="1"/>
        <v/>
      </c>
      <c r="E618" s="21" t="str">
        <f>IF(A618="","",EXP(-Inputs!$C$8*A618))</f>
        <v/>
      </c>
      <c r="F618" s="22" t="str">
        <f t="shared" si="2"/>
        <v/>
      </c>
    </row>
    <row r="619">
      <c r="A619" s="18" t="str">
        <f>'Cashflow Schedule'!B619</f>
        <v/>
      </c>
      <c r="B619" s="18" t="str">
        <f>'Cashflow Schedule'!E619</f>
        <v/>
      </c>
      <c r="C619" s="22" t="str">
        <f>IF(A619="","",Inputs!$C$6*EXP((Inputs!$C$8-Inputs!$C$7)*A619))</f>
        <v/>
      </c>
      <c r="D619" s="22" t="str">
        <f t="shared" si="1"/>
        <v/>
      </c>
      <c r="E619" s="21" t="str">
        <f>IF(A619="","",EXP(-Inputs!$C$8*A619))</f>
        <v/>
      </c>
      <c r="F619" s="22" t="str">
        <f t="shared" si="2"/>
        <v/>
      </c>
    </row>
    <row r="620">
      <c r="A620" s="18" t="str">
        <f>'Cashflow Schedule'!B620</f>
        <v/>
      </c>
      <c r="B620" s="18" t="str">
        <f>'Cashflow Schedule'!E620</f>
        <v/>
      </c>
      <c r="C620" s="22" t="str">
        <f>IF(A620="","",Inputs!$C$6*EXP((Inputs!$C$8-Inputs!$C$7)*A620))</f>
        <v/>
      </c>
      <c r="D620" s="22" t="str">
        <f t="shared" si="1"/>
        <v/>
      </c>
      <c r="E620" s="21" t="str">
        <f>IF(A620="","",EXP(-Inputs!$C$8*A620))</f>
        <v/>
      </c>
      <c r="F620" s="22" t="str">
        <f t="shared" si="2"/>
        <v/>
      </c>
    </row>
    <row r="621">
      <c r="A621" s="18" t="str">
        <f>'Cashflow Schedule'!B621</f>
        <v/>
      </c>
      <c r="B621" s="18" t="str">
        <f>'Cashflow Schedule'!E621</f>
        <v/>
      </c>
      <c r="C621" s="22" t="str">
        <f>IF(A621="","",Inputs!$C$6*EXP((Inputs!$C$8-Inputs!$C$7)*A621))</f>
        <v/>
      </c>
      <c r="D621" s="22" t="str">
        <f t="shared" si="1"/>
        <v/>
      </c>
      <c r="E621" s="21" t="str">
        <f>IF(A621="","",EXP(-Inputs!$C$8*A621))</f>
        <v/>
      </c>
      <c r="F621" s="22" t="str">
        <f t="shared" si="2"/>
        <v/>
      </c>
    </row>
    <row r="622">
      <c r="A622" s="18" t="str">
        <f>'Cashflow Schedule'!B622</f>
        <v/>
      </c>
      <c r="B622" s="18" t="str">
        <f>'Cashflow Schedule'!E622</f>
        <v/>
      </c>
      <c r="C622" s="22" t="str">
        <f>IF(A622="","",Inputs!$C$6*EXP((Inputs!$C$8-Inputs!$C$7)*A622))</f>
        <v/>
      </c>
      <c r="D622" s="22" t="str">
        <f t="shared" si="1"/>
        <v/>
      </c>
      <c r="E622" s="21" t="str">
        <f>IF(A622="","",EXP(-Inputs!$C$8*A622))</f>
        <v/>
      </c>
      <c r="F622" s="22" t="str">
        <f t="shared" si="2"/>
        <v/>
      </c>
    </row>
    <row r="623">
      <c r="A623" s="18" t="str">
        <f>'Cashflow Schedule'!B623</f>
        <v/>
      </c>
      <c r="B623" s="18" t="str">
        <f>'Cashflow Schedule'!E623</f>
        <v/>
      </c>
      <c r="C623" s="22" t="str">
        <f>IF(A623="","",Inputs!$C$6*EXP((Inputs!$C$8-Inputs!$C$7)*A623))</f>
        <v/>
      </c>
      <c r="D623" s="22" t="str">
        <f t="shared" si="1"/>
        <v/>
      </c>
      <c r="E623" s="21" t="str">
        <f>IF(A623="","",EXP(-Inputs!$C$8*A623))</f>
        <v/>
      </c>
      <c r="F623" s="22" t="str">
        <f t="shared" si="2"/>
        <v/>
      </c>
    </row>
    <row r="624">
      <c r="A624" s="18" t="str">
        <f>'Cashflow Schedule'!B624</f>
        <v/>
      </c>
      <c r="B624" s="18" t="str">
        <f>'Cashflow Schedule'!E624</f>
        <v/>
      </c>
      <c r="C624" s="22" t="str">
        <f>IF(A624="","",Inputs!$C$6*EXP((Inputs!$C$8-Inputs!$C$7)*A624))</f>
        <v/>
      </c>
      <c r="D624" s="22" t="str">
        <f t="shared" si="1"/>
        <v/>
      </c>
      <c r="E624" s="21" t="str">
        <f>IF(A624="","",EXP(-Inputs!$C$8*A624))</f>
        <v/>
      </c>
      <c r="F624" s="22" t="str">
        <f t="shared" si="2"/>
        <v/>
      </c>
    </row>
    <row r="625">
      <c r="A625" s="18" t="str">
        <f>'Cashflow Schedule'!B625</f>
        <v/>
      </c>
      <c r="B625" s="18" t="str">
        <f>'Cashflow Schedule'!E625</f>
        <v/>
      </c>
      <c r="C625" s="22" t="str">
        <f>IF(A625="","",Inputs!$C$6*EXP((Inputs!$C$8-Inputs!$C$7)*A625))</f>
        <v/>
      </c>
      <c r="D625" s="22" t="str">
        <f t="shared" si="1"/>
        <v/>
      </c>
      <c r="E625" s="21" t="str">
        <f>IF(A625="","",EXP(-Inputs!$C$8*A625))</f>
        <v/>
      </c>
      <c r="F625" s="22" t="str">
        <f t="shared" si="2"/>
        <v/>
      </c>
    </row>
    <row r="626">
      <c r="A626" s="18" t="str">
        <f>'Cashflow Schedule'!B626</f>
        <v/>
      </c>
      <c r="B626" s="18" t="str">
        <f>'Cashflow Schedule'!E626</f>
        <v/>
      </c>
      <c r="C626" s="22" t="str">
        <f>IF(A626="","",Inputs!$C$6*EXP((Inputs!$C$8-Inputs!$C$7)*A626))</f>
        <v/>
      </c>
      <c r="D626" s="22" t="str">
        <f t="shared" si="1"/>
        <v/>
      </c>
      <c r="E626" s="21" t="str">
        <f>IF(A626="","",EXP(-Inputs!$C$8*A626))</f>
        <v/>
      </c>
      <c r="F626" s="22" t="str">
        <f t="shared" si="2"/>
        <v/>
      </c>
    </row>
    <row r="627">
      <c r="A627" s="18" t="str">
        <f>'Cashflow Schedule'!B627</f>
        <v/>
      </c>
      <c r="B627" s="18" t="str">
        <f>'Cashflow Schedule'!E627</f>
        <v/>
      </c>
      <c r="C627" s="22" t="str">
        <f>IF(A627="","",Inputs!$C$6*EXP((Inputs!$C$8-Inputs!$C$7)*A627))</f>
        <v/>
      </c>
      <c r="D627" s="22" t="str">
        <f t="shared" si="1"/>
        <v/>
      </c>
      <c r="E627" s="21" t="str">
        <f>IF(A627="","",EXP(-Inputs!$C$8*A627))</f>
        <v/>
      </c>
      <c r="F627" s="22" t="str">
        <f t="shared" si="2"/>
        <v/>
      </c>
    </row>
    <row r="628">
      <c r="A628" s="18" t="str">
        <f>'Cashflow Schedule'!B628</f>
        <v/>
      </c>
      <c r="B628" s="18" t="str">
        <f>'Cashflow Schedule'!E628</f>
        <v/>
      </c>
      <c r="C628" s="22" t="str">
        <f>IF(A628="","",Inputs!$C$6*EXP((Inputs!$C$8-Inputs!$C$7)*A628))</f>
        <v/>
      </c>
      <c r="D628" s="22" t="str">
        <f t="shared" si="1"/>
        <v/>
      </c>
      <c r="E628" s="21" t="str">
        <f>IF(A628="","",EXP(-Inputs!$C$8*A628))</f>
        <v/>
      </c>
      <c r="F628" s="22" t="str">
        <f t="shared" si="2"/>
        <v/>
      </c>
    </row>
    <row r="629">
      <c r="A629" s="18" t="str">
        <f>'Cashflow Schedule'!B629</f>
        <v/>
      </c>
      <c r="B629" s="18" t="str">
        <f>'Cashflow Schedule'!E629</f>
        <v/>
      </c>
      <c r="C629" s="22" t="str">
        <f>IF(A629="","",Inputs!$C$6*EXP((Inputs!$C$8-Inputs!$C$7)*A629))</f>
        <v/>
      </c>
      <c r="D629" s="22" t="str">
        <f t="shared" si="1"/>
        <v/>
      </c>
      <c r="E629" s="21" t="str">
        <f>IF(A629="","",EXP(-Inputs!$C$8*A629))</f>
        <v/>
      </c>
      <c r="F629" s="22" t="str">
        <f t="shared" si="2"/>
        <v/>
      </c>
    </row>
    <row r="630">
      <c r="A630" s="18" t="str">
        <f>'Cashflow Schedule'!B630</f>
        <v/>
      </c>
      <c r="B630" s="18" t="str">
        <f>'Cashflow Schedule'!E630</f>
        <v/>
      </c>
      <c r="C630" s="22" t="str">
        <f>IF(A630="","",Inputs!$C$6*EXP((Inputs!$C$8-Inputs!$C$7)*A630))</f>
        <v/>
      </c>
      <c r="D630" s="22" t="str">
        <f t="shared" si="1"/>
        <v/>
      </c>
      <c r="E630" s="21" t="str">
        <f>IF(A630="","",EXP(-Inputs!$C$8*A630))</f>
        <v/>
      </c>
      <c r="F630" s="22" t="str">
        <f t="shared" si="2"/>
        <v/>
      </c>
    </row>
    <row r="631">
      <c r="A631" s="18" t="str">
        <f>'Cashflow Schedule'!B631</f>
        <v/>
      </c>
      <c r="B631" s="18" t="str">
        <f>'Cashflow Schedule'!E631</f>
        <v/>
      </c>
      <c r="C631" s="22" t="str">
        <f>IF(A631="","",Inputs!$C$6*EXP((Inputs!$C$8-Inputs!$C$7)*A631))</f>
        <v/>
      </c>
      <c r="D631" s="22" t="str">
        <f t="shared" si="1"/>
        <v/>
      </c>
      <c r="E631" s="21" t="str">
        <f>IF(A631="","",EXP(-Inputs!$C$8*A631))</f>
        <v/>
      </c>
      <c r="F631" s="22" t="str">
        <f t="shared" si="2"/>
        <v/>
      </c>
    </row>
    <row r="632">
      <c r="A632" s="18" t="str">
        <f>'Cashflow Schedule'!B632</f>
        <v/>
      </c>
      <c r="B632" s="18" t="str">
        <f>'Cashflow Schedule'!E632</f>
        <v/>
      </c>
      <c r="C632" s="22" t="str">
        <f>IF(A632="","",Inputs!$C$6*EXP((Inputs!$C$8-Inputs!$C$7)*A632))</f>
        <v/>
      </c>
      <c r="D632" s="22" t="str">
        <f t="shared" si="1"/>
        <v/>
      </c>
      <c r="E632" s="21" t="str">
        <f>IF(A632="","",EXP(-Inputs!$C$8*A632))</f>
        <v/>
      </c>
      <c r="F632" s="22" t="str">
        <f t="shared" si="2"/>
        <v/>
      </c>
    </row>
    <row r="633">
      <c r="A633" s="18" t="str">
        <f>'Cashflow Schedule'!B633</f>
        <v/>
      </c>
      <c r="B633" s="18" t="str">
        <f>'Cashflow Schedule'!E633</f>
        <v/>
      </c>
      <c r="C633" s="22" t="str">
        <f>IF(A633="","",Inputs!$C$6*EXP((Inputs!$C$8-Inputs!$C$7)*A633))</f>
        <v/>
      </c>
      <c r="D633" s="22" t="str">
        <f t="shared" si="1"/>
        <v/>
      </c>
      <c r="E633" s="21" t="str">
        <f>IF(A633="","",EXP(-Inputs!$C$8*A633))</f>
        <v/>
      </c>
      <c r="F633" s="22" t="str">
        <f t="shared" si="2"/>
        <v/>
      </c>
    </row>
    <row r="634">
      <c r="A634" s="18" t="str">
        <f>'Cashflow Schedule'!B634</f>
        <v/>
      </c>
      <c r="B634" s="18" t="str">
        <f>'Cashflow Schedule'!E634</f>
        <v/>
      </c>
      <c r="C634" s="22" t="str">
        <f>IF(A634="","",Inputs!$C$6*EXP((Inputs!$C$8-Inputs!$C$7)*A634))</f>
        <v/>
      </c>
      <c r="D634" s="22" t="str">
        <f t="shared" si="1"/>
        <v/>
      </c>
      <c r="E634" s="21" t="str">
        <f>IF(A634="","",EXP(-Inputs!$C$8*A634))</f>
        <v/>
      </c>
      <c r="F634" s="22" t="str">
        <f t="shared" si="2"/>
        <v/>
      </c>
    </row>
    <row r="635">
      <c r="A635" s="18" t="str">
        <f>'Cashflow Schedule'!B635</f>
        <v/>
      </c>
      <c r="B635" s="18" t="str">
        <f>'Cashflow Schedule'!E635</f>
        <v/>
      </c>
      <c r="C635" s="22" t="str">
        <f>IF(A635="","",Inputs!$C$6*EXP((Inputs!$C$8-Inputs!$C$7)*A635))</f>
        <v/>
      </c>
      <c r="D635" s="22" t="str">
        <f t="shared" si="1"/>
        <v/>
      </c>
      <c r="E635" s="21" t="str">
        <f>IF(A635="","",EXP(-Inputs!$C$8*A635))</f>
        <v/>
      </c>
      <c r="F635" s="22" t="str">
        <f t="shared" si="2"/>
        <v/>
      </c>
    </row>
    <row r="636">
      <c r="A636" s="18" t="str">
        <f>'Cashflow Schedule'!B636</f>
        <v/>
      </c>
      <c r="B636" s="18" t="str">
        <f>'Cashflow Schedule'!E636</f>
        <v/>
      </c>
      <c r="C636" s="22" t="str">
        <f>IF(A636="","",Inputs!$C$6*EXP((Inputs!$C$8-Inputs!$C$7)*A636))</f>
        <v/>
      </c>
      <c r="D636" s="22" t="str">
        <f t="shared" si="1"/>
        <v/>
      </c>
      <c r="E636" s="21" t="str">
        <f>IF(A636="","",EXP(-Inputs!$C$8*A636))</f>
        <v/>
      </c>
      <c r="F636" s="22" t="str">
        <f t="shared" si="2"/>
        <v/>
      </c>
    </row>
    <row r="637">
      <c r="A637" s="18" t="str">
        <f>'Cashflow Schedule'!B637</f>
        <v/>
      </c>
      <c r="B637" s="18" t="str">
        <f>'Cashflow Schedule'!E637</f>
        <v/>
      </c>
      <c r="C637" s="22" t="str">
        <f>IF(A637="","",Inputs!$C$6*EXP((Inputs!$C$8-Inputs!$C$7)*A637))</f>
        <v/>
      </c>
      <c r="D637" s="22" t="str">
        <f t="shared" si="1"/>
        <v/>
      </c>
      <c r="E637" s="21" t="str">
        <f>IF(A637="","",EXP(-Inputs!$C$8*A637))</f>
        <v/>
      </c>
      <c r="F637" s="22" t="str">
        <f t="shared" si="2"/>
        <v/>
      </c>
    </row>
    <row r="638">
      <c r="A638" s="18" t="str">
        <f>'Cashflow Schedule'!B638</f>
        <v/>
      </c>
      <c r="B638" s="18" t="str">
        <f>'Cashflow Schedule'!E638</f>
        <v/>
      </c>
      <c r="C638" s="22" t="str">
        <f>IF(A638="","",Inputs!$C$6*EXP((Inputs!$C$8-Inputs!$C$7)*A638))</f>
        <v/>
      </c>
      <c r="D638" s="22" t="str">
        <f t="shared" si="1"/>
        <v/>
      </c>
      <c r="E638" s="21" t="str">
        <f>IF(A638="","",EXP(-Inputs!$C$8*A638))</f>
        <v/>
      </c>
      <c r="F638" s="22" t="str">
        <f t="shared" si="2"/>
        <v/>
      </c>
    </row>
    <row r="639">
      <c r="A639" s="18" t="str">
        <f>'Cashflow Schedule'!B639</f>
        <v/>
      </c>
      <c r="B639" s="18" t="str">
        <f>'Cashflow Schedule'!E639</f>
        <v/>
      </c>
      <c r="C639" s="22" t="str">
        <f>IF(A639="","",Inputs!$C$6*EXP((Inputs!$C$8-Inputs!$C$7)*A639))</f>
        <v/>
      </c>
      <c r="D639" s="22" t="str">
        <f t="shared" si="1"/>
        <v/>
      </c>
      <c r="E639" s="21" t="str">
        <f>IF(A639="","",EXP(-Inputs!$C$8*A639))</f>
        <v/>
      </c>
      <c r="F639" s="22" t="str">
        <f t="shared" si="2"/>
        <v/>
      </c>
    </row>
    <row r="640">
      <c r="A640" s="18" t="str">
        <f>'Cashflow Schedule'!B640</f>
        <v/>
      </c>
      <c r="B640" s="18" t="str">
        <f>'Cashflow Schedule'!E640</f>
        <v/>
      </c>
      <c r="C640" s="22" t="str">
        <f>IF(A640="","",Inputs!$C$6*EXP((Inputs!$C$8-Inputs!$C$7)*A640))</f>
        <v/>
      </c>
      <c r="D640" s="22" t="str">
        <f t="shared" si="1"/>
        <v/>
      </c>
      <c r="E640" s="21" t="str">
        <f>IF(A640="","",EXP(-Inputs!$C$8*A640))</f>
        <v/>
      </c>
      <c r="F640" s="22" t="str">
        <f t="shared" si="2"/>
        <v/>
      </c>
    </row>
    <row r="641">
      <c r="A641" s="18" t="str">
        <f>'Cashflow Schedule'!B641</f>
        <v/>
      </c>
      <c r="B641" s="18" t="str">
        <f>'Cashflow Schedule'!E641</f>
        <v/>
      </c>
      <c r="C641" s="22" t="str">
        <f>IF(A641="","",Inputs!$C$6*EXP((Inputs!$C$8-Inputs!$C$7)*A641))</f>
        <v/>
      </c>
      <c r="D641" s="22" t="str">
        <f t="shared" si="1"/>
        <v/>
      </c>
      <c r="E641" s="21" t="str">
        <f>IF(A641="","",EXP(-Inputs!$C$8*A641))</f>
        <v/>
      </c>
      <c r="F641" s="22" t="str">
        <f t="shared" si="2"/>
        <v/>
      </c>
    </row>
    <row r="642">
      <c r="A642" s="18" t="str">
        <f>'Cashflow Schedule'!B642</f>
        <v/>
      </c>
      <c r="B642" s="18" t="str">
        <f>'Cashflow Schedule'!E642</f>
        <v/>
      </c>
      <c r="C642" s="22" t="str">
        <f>IF(A642="","",Inputs!$C$6*EXP((Inputs!$C$8-Inputs!$C$7)*A642))</f>
        <v/>
      </c>
      <c r="D642" s="22" t="str">
        <f t="shared" si="1"/>
        <v/>
      </c>
      <c r="E642" s="21" t="str">
        <f>IF(A642="","",EXP(-Inputs!$C$8*A642))</f>
        <v/>
      </c>
      <c r="F642" s="22" t="str">
        <f t="shared" si="2"/>
        <v/>
      </c>
    </row>
    <row r="643">
      <c r="A643" s="18" t="str">
        <f>'Cashflow Schedule'!B643</f>
        <v/>
      </c>
      <c r="B643" s="18" t="str">
        <f>'Cashflow Schedule'!E643</f>
        <v/>
      </c>
      <c r="C643" s="22" t="str">
        <f>IF(A643="","",Inputs!$C$6*EXP((Inputs!$C$8-Inputs!$C$7)*A643))</f>
        <v/>
      </c>
      <c r="D643" s="22" t="str">
        <f t="shared" si="1"/>
        <v/>
      </c>
      <c r="E643" s="21" t="str">
        <f>IF(A643="","",EXP(-Inputs!$C$8*A643))</f>
        <v/>
      </c>
      <c r="F643" s="22" t="str">
        <f t="shared" si="2"/>
        <v/>
      </c>
    </row>
    <row r="644">
      <c r="A644" s="18" t="str">
        <f>'Cashflow Schedule'!B644</f>
        <v/>
      </c>
      <c r="B644" s="18" t="str">
        <f>'Cashflow Schedule'!E644</f>
        <v/>
      </c>
      <c r="C644" s="22" t="str">
        <f>IF(A644="","",Inputs!$C$6*EXP((Inputs!$C$8-Inputs!$C$7)*A644))</f>
        <v/>
      </c>
      <c r="D644" s="22" t="str">
        <f t="shared" si="1"/>
        <v/>
      </c>
      <c r="E644" s="21" t="str">
        <f>IF(A644="","",EXP(-Inputs!$C$8*A644))</f>
        <v/>
      </c>
      <c r="F644" s="22" t="str">
        <f t="shared" si="2"/>
        <v/>
      </c>
    </row>
    <row r="645">
      <c r="A645" s="18" t="str">
        <f>'Cashflow Schedule'!B645</f>
        <v/>
      </c>
      <c r="B645" s="18" t="str">
        <f>'Cashflow Schedule'!E645</f>
        <v/>
      </c>
      <c r="C645" s="22" t="str">
        <f>IF(A645="","",Inputs!$C$6*EXP((Inputs!$C$8-Inputs!$C$7)*A645))</f>
        <v/>
      </c>
      <c r="D645" s="22" t="str">
        <f t="shared" si="1"/>
        <v/>
      </c>
      <c r="E645" s="21" t="str">
        <f>IF(A645="","",EXP(-Inputs!$C$8*A645))</f>
        <v/>
      </c>
      <c r="F645" s="22" t="str">
        <f t="shared" si="2"/>
        <v/>
      </c>
    </row>
    <row r="646">
      <c r="A646" s="18" t="str">
        <f>'Cashflow Schedule'!B646</f>
        <v/>
      </c>
      <c r="B646" s="18" t="str">
        <f>'Cashflow Schedule'!E646</f>
        <v/>
      </c>
      <c r="C646" s="22" t="str">
        <f>IF(A646="","",Inputs!$C$6*EXP((Inputs!$C$8-Inputs!$C$7)*A646))</f>
        <v/>
      </c>
      <c r="D646" s="22" t="str">
        <f t="shared" si="1"/>
        <v/>
      </c>
      <c r="E646" s="21" t="str">
        <f>IF(A646="","",EXP(-Inputs!$C$8*A646))</f>
        <v/>
      </c>
      <c r="F646" s="22" t="str">
        <f t="shared" si="2"/>
        <v/>
      </c>
    </row>
    <row r="647">
      <c r="A647" s="18" t="str">
        <f>'Cashflow Schedule'!B647</f>
        <v/>
      </c>
      <c r="B647" s="18" t="str">
        <f>'Cashflow Schedule'!E647</f>
        <v/>
      </c>
      <c r="C647" s="22" t="str">
        <f>IF(A647="","",Inputs!$C$6*EXP((Inputs!$C$8-Inputs!$C$7)*A647))</f>
        <v/>
      </c>
      <c r="D647" s="22" t="str">
        <f t="shared" si="1"/>
        <v/>
      </c>
      <c r="E647" s="21" t="str">
        <f>IF(A647="","",EXP(-Inputs!$C$8*A647))</f>
        <v/>
      </c>
      <c r="F647" s="22" t="str">
        <f t="shared" si="2"/>
        <v/>
      </c>
    </row>
    <row r="648">
      <c r="A648" s="18" t="str">
        <f>'Cashflow Schedule'!B648</f>
        <v/>
      </c>
      <c r="B648" s="18" t="str">
        <f>'Cashflow Schedule'!E648</f>
        <v/>
      </c>
      <c r="C648" s="22" t="str">
        <f>IF(A648="","",Inputs!$C$6*EXP((Inputs!$C$8-Inputs!$C$7)*A648))</f>
        <v/>
      </c>
      <c r="D648" s="22" t="str">
        <f t="shared" si="1"/>
        <v/>
      </c>
      <c r="E648" s="21" t="str">
        <f>IF(A648="","",EXP(-Inputs!$C$8*A648))</f>
        <v/>
      </c>
      <c r="F648" s="22" t="str">
        <f t="shared" si="2"/>
        <v/>
      </c>
    </row>
    <row r="649">
      <c r="A649" s="18" t="str">
        <f>'Cashflow Schedule'!B649</f>
        <v/>
      </c>
      <c r="B649" s="18" t="str">
        <f>'Cashflow Schedule'!E649</f>
        <v/>
      </c>
      <c r="C649" s="22" t="str">
        <f>IF(A649="","",Inputs!$C$6*EXP((Inputs!$C$8-Inputs!$C$7)*A649))</f>
        <v/>
      </c>
      <c r="D649" s="22" t="str">
        <f t="shared" si="1"/>
        <v/>
      </c>
      <c r="E649" s="21" t="str">
        <f>IF(A649="","",EXP(-Inputs!$C$8*A649))</f>
        <v/>
      </c>
      <c r="F649" s="22" t="str">
        <f t="shared" si="2"/>
        <v/>
      </c>
    </row>
    <row r="650">
      <c r="A650" s="18" t="str">
        <f>'Cashflow Schedule'!B650</f>
        <v/>
      </c>
      <c r="B650" s="18" t="str">
        <f>'Cashflow Schedule'!E650</f>
        <v/>
      </c>
      <c r="C650" s="22" t="str">
        <f>IF(A650="","",Inputs!$C$6*EXP((Inputs!$C$8-Inputs!$C$7)*A650))</f>
        <v/>
      </c>
      <c r="D650" s="22" t="str">
        <f t="shared" si="1"/>
        <v/>
      </c>
      <c r="E650" s="21" t="str">
        <f>IF(A650="","",EXP(-Inputs!$C$8*A650))</f>
        <v/>
      </c>
      <c r="F650" s="22" t="str">
        <f t="shared" si="2"/>
        <v/>
      </c>
    </row>
    <row r="651">
      <c r="A651" s="18" t="str">
        <f>'Cashflow Schedule'!B651</f>
        <v/>
      </c>
      <c r="B651" s="18" t="str">
        <f>'Cashflow Schedule'!E651</f>
        <v/>
      </c>
      <c r="C651" s="22" t="str">
        <f>IF(A651="","",Inputs!$C$6*EXP((Inputs!$C$8-Inputs!$C$7)*A651))</f>
        <v/>
      </c>
      <c r="D651" s="22" t="str">
        <f t="shared" si="1"/>
        <v/>
      </c>
      <c r="E651" s="21" t="str">
        <f>IF(A651="","",EXP(-Inputs!$C$8*A651))</f>
        <v/>
      </c>
      <c r="F651" s="22" t="str">
        <f t="shared" si="2"/>
        <v/>
      </c>
    </row>
    <row r="652">
      <c r="A652" s="18" t="str">
        <f>'Cashflow Schedule'!B652</f>
        <v/>
      </c>
      <c r="B652" s="18" t="str">
        <f>'Cashflow Schedule'!E652</f>
        <v/>
      </c>
      <c r="C652" s="22" t="str">
        <f>IF(A652="","",Inputs!$C$6*EXP((Inputs!$C$8-Inputs!$C$7)*A652))</f>
        <v/>
      </c>
      <c r="D652" s="22" t="str">
        <f t="shared" si="1"/>
        <v/>
      </c>
      <c r="E652" s="21" t="str">
        <f>IF(A652="","",EXP(-Inputs!$C$8*A652))</f>
        <v/>
      </c>
      <c r="F652" s="22" t="str">
        <f t="shared" si="2"/>
        <v/>
      </c>
    </row>
    <row r="653">
      <c r="A653" s="18" t="str">
        <f>'Cashflow Schedule'!B653</f>
        <v/>
      </c>
      <c r="B653" s="18" t="str">
        <f>'Cashflow Schedule'!E653</f>
        <v/>
      </c>
      <c r="C653" s="22" t="str">
        <f>IF(A653="","",Inputs!$C$6*EXP((Inputs!$C$8-Inputs!$C$7)*A653))</f>
        <v/>
      </c>
      <c r="D653" s="22" t="str">
        <f t="shared" si="1"/>
        <v/>
      </c>
      <c r="E653" s="21" t="str">
        <f>IF(A653="","",EXP(-Inputs!$C$8*A653))</f>
        <v/>
      </c>
      <c r="F653" s="22" t="str">
        <f t="shared" si="2"/>
        <v/>
      </c>
    </row>
    <row r="654">
      <c r="A654" s="18" t="str">
        <f>'Cashflow Schedule'!B654</f>
        <v/>
      </c>
      <c r="B654" s="18" t="str">
        <f>'Cashflow Schedule'!E654</f>
        <v/>
      </c>
      <c r="C654" s="22" t="str">
        <f>IF(A654="","",Inputs!$C$6*EXP((Inputs!$C$8-Inputs!$C$7)*A654))</f>
        <v/>
      </c>
      <c r="D654" s="22" t="str">
        <f t="shared" si="1"/>
        <v/>
      </c>
      <c r="E654" s="21" t="str">
        <f>IF(A654="","",EXP(-Inputs!$C$8*A654))</f>
        <v/>
      </c>
      <c r="F654" s="22" t="str">
        <f t="shared" si="2"/>
        <v/>
      </c>
    </row>
    <row r="655">
      <c r="A655" s="18" t="str">
        <f>'Cashflow Schedule'!B655</f>
        <v/>
      </c>
      <c r="B655" s="18" t="str">
        <f>'Cashflow Schedule'!E655</f>
        <v/>
      </c>
      <c r="C655" s="22" t="str">
        <f>IF(A655="","",Inputs!$C$6*EXP((Inputs!$C$8-Inputs!$C$7)*A655))</f>
        <v/>
      </c>
      <c r="D655" s="22" t="str">
        <f t="shared" si="1"/>
        <v/>
      </c>
      <c r="E655" s="21" t="str">
        <f>IF(A655="","",EXP(-Inputs!$C$8*A655))</f>
        <v/>
      </c>
      <c r="F655" s="22" t="str">
        <f t="shared" si="2"/>
        <v/>
      </c>
    </row>
    <row r="656">
      <c r="A656" s="18" t="str">
        <f>'Cashflow Schedule'!B656</f>
        <v/>
      </c>
      <c r="B656" s="18" t="str">
        <f>'Cashflow Schedule'!E656</f>
        <v/>
      </c>
      <c r="C656" s="22" t="str">
        <f>IF(A656="","",Inputs!$C$6*EXP((Inputs!$C$8-Inputs!$C$7)*A656))</f>
        <v/>
      </c>
      <c r="D656" s="22" t="str">
        <f t="shared" si="1"/>
        <v/>
      </c>
      <c r="E656" s="21" t="str">
        <f>IF(A656="","",EXP(-Inputs!$C$8*A656))</f>
        <v/>
      </c>
      <c r="F656" s="22" t="str">
        <f t="shared" si="2"/>
        <v/>
      </c>
    </row>
    <row r="657">
      <c r="A657" s="18" t="str">
        <f>'Cashflow Schedule'!B657</f>
        <v/>
      </c>
      <c r="B657" s="18" t="str">
        <f>'Cashflow Schedule'!E657</f>
        <v/>
      </c>
      <c r="C657" s="22" t="str">
        <f>IF(A657="","",Inputs!$C$6*EXP((Inputs!$C$8-Inputs!$C$7)*A657))</f>
        <v/>
      </c>
      <c r="D657" s="22" t="str">
        <f t="shared" si="1"/>
        <v/>
      </c>
      <c r="E657" s="21" t="str">
        <f>IF(A657="","",EXP(-Inputs!$C$8*A657))</f>
        <v/>
      </c>
      <c r="F657" s="22" t="str">
        <f t="shared" si="2"/>
        <v/>
      </c>
    </row>
    <row r="658">
      <c r="A658" s="18" t="str">
        <f>'Cashflow Schedule'!B658</f>
        <v/>
      </c>
      <c r="B658" s="18" t="str">
        <f>'Cashflow Schedule'!E658</f>
        <v/>
      </c>
      <c r="C658" s="22" t="str">
        <f>IF(A658="","",Inputs!$C$6*EXP((Inputs!$C$8-Inputs!$C$7)*A658))</f>
        <v/>
      </c>
      <c r="D658" s="22" t="str">
        <f t="shared" si="1"/>
        <v/>
      </c>
      <c r="E658" s="21" t="str">
        <f>IF(A658="","",EXP(-Inputs!$C$8*A658))</f>
        <v/>
      </c>
      <c r="F658" s="22" t="str">
        <f t="shared" si="2"/>
        <v/>
      </c>
    </row>
    <row r="659">
      <c r="A659" s="18" t="str">
        <f>'Cashflow Schedule'!B659</f>
        <v/>
      </c>
      <c r="B659" s="18" t="str">
        <f>'Cashflow Schedule'!E659</f>
        <v/>
      </c>
      <c r="C659" s="22" t="str">
        <f>IF(A659="","",Inputs!$C$6*EXP((Inputs!$C$8-Inputs!$C$7)*A659))</f>
        <v/>
      </c>
      <c r="D659" s="22" t="str">
        <f t="shared" si="1"/>
        <v/>
      </c>
      <c r="E659" s="21" t="str">
        <f>IF(A659="","",EXP(-Inputs!$C$8*A659))</f>
        <v/>
      </c>
      <c r="F659" s="22" t="str">
        <f t="shared" si="2"/>
        <v/>
      </c>
    </row>
    <row r="660">
      <c r="A660" s="18" t="str">
        <f>'Cashflow Schedule'!B660</f>
        <v/>
      </c>
      <c r="B660" s="18" t="str">
        <f>'Cashflow Schedule'!E660</f>
        <v/>
      </c>
      <c r="C660" s="22" t="str">
        <f>IF(A660="","",Inputs!$C$6*EXP((Inputs!$C$8-Inputs!$C$7)*A660))</f>
        <v/>
      </c>
      <c r="D660" s="22" t="str">
        <f t="shared" si="1"/>
        <v/>
      </c>
      <c r="E660" s="21" t="str">
        <f>IF(A660="","",EXP(-Inputs!$C$8*A660))</f>
        <v/>
      </c>
      <c r="F660" s="22" t="str">
        <f t="shared" si="2"/>
        <v/>
      </c>
    </row>
    <row r="661">
      <c r="A661" s="18" t="str">
        <f>'Cashflow Schedule'!B661</f>
        <v/>
      </c>
      <c r="B661" s="18" t="str">
        <f>'Cashflow Schedule'!E661</f>
        <v/>
      </c>
      <c r="C661" s="22" t="str">
        <f>IF(A661="","",Inputs!$C$6*EXP((Inputs!$C$8-Inputs!$C$7)*A661))</f>
        <v/>
      </c>
      <c r="D661" s="22" t="str">
        <f t="shared" si="1"/>
        <v/>
      </c>
      <c r="E661" s="21" t="str">
        <f>IF(A661="","",EXP(-Inputs!$C$8*A661))</f>
        <v/>
      </c>
      <c r="F661" s="22" t="str">
        <f t="shared" si="2"/>
        <v/>
      </c>
    </row>
    <row r="662">
      <c r="A662" s="18" t="str">
        <f>'Cashflow Schedule'!B662</f>
        <v/>
      </c>
      <c r="B662" s="18" t="str">
        <f>'Cashflow Schedule'!E662</f>
        <v/>
      </c>
      <c r="C662" s="22" t="str">
        <f>IF(A662="","",Inputs!$C$6*EXP((Inputs!$C$8-Inputs!$C$7)*A662))</f>
        <v/>
      </c>
      <c r="D662" s="22" t="str">
        <f t="shared" si="1"/>
        <v/>
      </c>
      <c r="E662" s="21" t="str">
        <f>IF(A662="","",EXP(-Inputs!$C$8*A662))</f>
        <v/>
      </c>
      <c r="F662" s="22" t="str">
        <f t="shared" si="2"/>
        <v/>
      </c>
    </row>
    <row r="663">
      <c r="A663" s="18" t="str">
        <f>'Cashflow Schedule'!B663</f>
        <v/>
      </c>
      <c r="B663" s="18" t="str">
        <f>'Cashflow Schedule'!E663</f>
        <v/>
      </c>
      <c r="C663" s="22" t="str">
        <f>IF(A663="","",Inputs!$C$6*EXP((Inputs!$C$8-Inputs!$C$7)*A663))</f>
        <v/>
      </c>
      <c r="D663" s="22" t="str">
        <f t="shared" si="1"/>
        <v/>
      </c>
      <c r="E663" s="21" t="str">
        <f>IF(A663="","",EXP(-Inputs!$C$8*A663))</f>
        <v/>
      </c>
      <c r="F663" s="22" t="str">
        <f t="shared" si="2"/>
        <v/>
      </c>
    </row>
    <row r="664">
      <c r="A664" s="18" t="str">
        <f>'Cashflow Schedule'!B664</f>
        <v/>
      </c>
      <c r="B664" s="18" t="str">
        <f>'Cashflow Schedule'!E664</f>
        <v/>
      </c>
      <c r="C664" s="22" t="str">
        <f>IF(A664="","",Inputs!$C$6*EXP((Inputs!$C$8-Inputs!$C$7)*A664))</f>
        <v/>
      </c>
      <c r="D664" s="22" t="str">
        <f t="shared" si="1"/>
        <v/>
      </c>
      <c r="E664" s="21" t="str">
        <f>IF(A664="","",EXP(-Inputs!$C$8*A664))</f>
        <v/>
      </c>
      <c r="F664" s="22" t="str">
        <f t="shared" si="2"/>
        <v/>
      </c>
    </row>
    <row r="665">
      <c r="A665" s="18" t="str">
        <f>'Cashflow Schedule'!B665</f>
        <v/>
      </c>
      <c r="B665" s="18" t="str">
        <f>'Cashflow Schedule'!E665</f>
        <v/>
      </c>
      <c r="C665" s="22" t="str">
        <f>IF(A665="","",Inputs!$C$6*EXP((Inputs!$C$8-Inputs!$C$7)*A665))</f>
        <v/>
      </c>
      <c r="D665" s="22" t="str">
        <f t="shared" si="1"/>
        <v/>
      </c>
      <c r="E665" s="21" t="str">
        <f>IF(A665="","",EXP(-Inputs!$C$8*A665))</f>
        <v/>
      </c>
      <c r="F665" s="22" t="str">
        <f t="shared" si="2"/>
        <v/>
      </c>
    </row>
    <row r="666">
      <c r="A666" s="18" t="str">
        <f>'Cashflow Schedule'!B666</f>
        <v/>
      </c>
      <c r="B666" s="18" t="str">
        <f>'Cashflow Schedule'!E666</f>
        <v/>
      </c>
      <c r="C666" s="22" t="str">
        <f>IF(A666="","",Inputs!$C$6*EXP((Inputs!$C$8-Inputs!$C$7)*A666))</f>
        <v/>
      </c>
      <c r="D666" s="22" t="str">
        <f t="shared" si="1"/>
        <v/>
      </c>
      <c r="E666" s="21" t="str">
        <f>IF(A666="","",EXP(-Inputs!$C$8*A666))</f>
        <v/>
      </c>
      <c r="F666" s="22" t="str">
        <f t="shared" si="2"/>
        <v/>
      </c>
    </row>
    <row r="667">
      <c r="A667" s="18" t="str">
        <f>'Cashflow Schedule'!B667</f>
        <v/>
      </c>
      <c r="B667" s="18" t="str">
        <f>'Cashflow Schedule'!E667</f>
        <v/>
      </c>
      <c r="C667" s="22" t="str">
        <f>IF(A667="","",Inputs!$C$6*EXP((Inputs!$C$8-Inputs!$C$7)*A667))</f>
        <v/>
      </c>
      <c r="D667" s="22" t="str">
        <f t="shared" si="1"/>
        <v/>
      </c>
      <c r="E667" s="21" t="str">
        <f>IF(A667="","",EXP(-Inputs!$C$8*A667))</f>
        <v/>
      </c>
      <c r="F667" s="22" t="str">
        <f t="shared" si="2"/>
        <v/>
      </c>
    </row>
    <row r="668">
      <c r="A668" s="18" t="str">
        <f>'Cashflow Schedule'!B668</f>
        <v/>
      </c>
      <c r="B668" s="18" t="str">
        <f>'Cashflow Schedule'!E668</f>
        <v/>
      </c>
      <c r="C668" s="22" t="str">
        <f>IF(A668="","",Inputs!$C$6*EXP((Inputs!$C$8-Inputs!$C$7)*A668))</f>
        <v/>
      </c>
      <c r="D668" s="22" t="str">
        <f t="shared" si="1"/>
        <v/>
      </c>
      <c r="E668" s="21" t="str">
        <f>IF(A668="","",EXP(-Inputs!$C$8*A668))</f>
        <v/>
      </c>
      <c r="F668" s="22" t="str">
        <f t="shared" si="2"/>
        <v/>
      </c>
    </row>
    <row r="669">
      <c r="A669" s="18" t="str">
        <f>'Cashflow Schedule'!B669</f>
        <v/>
      </c>
      <c r="B669" s="18" t="str">
        <f>'Cashflow Schedule'!E669</f>
        <v/>
      </c>
      <c r="C669" s="22" t="str">
        <f>IF(A669="","",Inputs!$C$6*EXP((Inputs!$C$8-Inputs!$C$7)*A669))</f>
        <v/>
      </c>
      <c r="D669" s="22" t="str">
        <f t="shared" si="1"/>
        <v/>
      </c>
      <c r="E669" s="21" t="str">
        <f>IF(A669="","",EXP(-Inputs!$C$8*A669))</f>
        <v/>
      </c>
      <c r="F669" s="22" t="str">
        <f t="shared" si="2"/>
        <v/>
      </c>
    </row>
    <row r="670">
      <c r="A670" s="18" t="str">
        <f>'Cashflow Schedule'!B670</f>
        <v/>
      </c>
      <c r="B670" s="18" t="str">
        <f>'Cashflow Schedule'!E670</f>
        <v/>
      </c>
      <c r="C670" s="22" t="str">
        <f>IF(A670="","",Inputs!$C$6*EXP((Inputs!$C$8-Inputs!$C$7)*A670))</f>
        <v/>
      </c>
      <c r="D670" s="22" t="str">
        <f t="shared" si="1"/>
        <v/>
      </c>
      <c r="E670" s="21" t="str">
        <f>IF(A670="","",EXP(-Inputs!$C$8*A670))</f>
        <v/>
      </c>
      <c r="F670" s="22" t="str">
        <f t="shared" si="2"/>
        <v/>
      </c>
    </row>
    <row r="671">
      <c r="A671" s="18" t="str">
        <f>'Cashflow Schedule'!B671</f>
        <v/>
      </c>
      <c r="B671" s="18" t="str">
        <f>'Cashflow Schedule'!E671</f>
        <v/>
      </c>
      <c r="C671" s="22" t="str">
        <f>IF(A671="","",Inputs!$C$6*EXP((Inputs!$C$8-Inputs!$C$7)*A671))</f>
        <v/>
      </c>
      <c r="D671" s="22" t="str">
        <f t="shared" si="1"/>
        <v/>
      </c>
      <c r="E671" s="21" t="str">
        <f>IF(A671="","",EXP(-Inputs!$C$8*A671))</f>
        <v/>
      </c>
      <c r="F671" s="22" t="str">
        <f t="shared" si="2"/>
        <v/>
      </c>
    </row>
    <row r="672">
      <c r="A672" s="18" t="str">
        <f>'Cashflow Schedule'!B672</f>
        <v/>
      </c>
      <c r="B672" s="18" t="str">
        <f>'Cashflow Schedule'!E672</f>
        <v/>
      </c>
      <c r="C672" s="22" t="str">
        <f>IF(A672="","",Inputs!$C$6*EXP((Inputs!$C$8-Inputs!$C$7)*A672))</f>
        <v/>
      </c>
      <c r="D672" s="22" t="str">
        <f t="shared" si="1"/>
        <v/>
      </c>
      <c r="E672" s="21" t="str">
        <f>IF(A672="","",EXP(-Inputs!$C$8*A672))</f>
        <v/>
      </c>
      <c r="F672" s="22" t="str">
        <f t="shared" si="2"/>
        <v/>
      </c>
    </row>
    <row r="673">
      <c r="A673" s="18" t="str">
        <f>'Cashflow Schedule'!B673</f>
        <v/>
      </c>
      <c r="B673" s="18" t="str">
        <f>'Cashflow Schedule'!E673</f>
        <v/>
      </c>
      <c r="C673" s="22" t="str">
        <f>IF(A673="","",Inputs!$C$6*EXP((Inputs!$C$8-Inputs!$C$7)*A673))</f>
        <v/>
      </c>
      <c r="D673" s="22" t="str">
        <f t="shared" si="1"/>
        <v/>
      </c>
      <c r="E673" s="21" t="str">
        <f>IF(A673="","",EXP(-Inputs!$C$8*A673))</f>
        <v/>
      </c>
      <c r="F673" s="22" t="str">
        <f t="shared" si="2"/>
        <v/>
      </c>
    </row>
    <row r="674">
      <c r="A674" s="18" t="str">
        <f>'Cashflow Schedule'!B674</f>
        <v/>
      </c>
      <c r="B674" s="18" t="str">
        <f>'Cashflow Schedule'!E674</f>
        <v/>
      </c>
      <c r="C674" s="22" t="str">
        <f>IF(A674="","",Inputs!$C$6*EXP((Inputs!$C$8-Inputs!$C$7)*A674))</f>
        <v/>
      </c>
      <c r="D674" s="22" t="str">
        <f t="shared" si="1"/>
        <v/>
      </c>
      <c r="E674" s="21" t="str">
        <f>IF(A674="","",EXP(-Inputs!$C$8*A674))</f>
        <v/>
      </c>
      <c r="F674" s="22" t="str">
        <f t="shared" si="2"/>
        <v/>
      </c>
    </row>
    <row r="675">
      <c r="A675" s="18" t="str">
        <f>'Cashflow Schedule'!B675</f>
        <v/>
      </c>
      <c r="B675" s="18" t="str">
        <f>'Cashflow Schedule'!E675</f>
        <v/>
      </c>
      <c r="C675" s="22" t="str">
        <f>IF(A675="","",Inputs!$C$6*EXP((Inputs!$C$8-Inputs!$C$7)*A675))</f>
        <v/>
      </c>
      <c r="D675" s="22" t="str">
        <f t="shared" si="1"/>
        <v/>
      </c>
      <c r="E675" s="21" t="str">
        <f>IF(A675="","",EXP(-Inputs!$C$8*A675))</f>
        <v/>
      </c>
      <c r="F675" s="22" t="str">
        <f t="shared" si="2"/>
        <v/>
      </c>
    </row>
    <row r="676">
      <c r="A676" s="18" t="str">
        <f>'Cashflow Schedule'!B676</f>
        <v/>
      </c>
      <c r="B676" s="18" t="str">
        <f>'Cashflow Schedule'!E676</f>
        <v/>
      </c>
      <c r="C676" s="22" t="str">
        <f>IF(A676="","",Inputs!$C$6*EXP((Inputs!$C$8-Inputs!$C$7)*A676))</f>
        <v/>
      </c>
      <c r="D676" s="22" t="str">
        <f t="shared" si="1"/>
        <v/>
      </c>
      <c r="E676" s="21" t="str">
        <f>IF(A676="","",EXP(-Inputs!$C$8*A676))</f>
        <v/>
      </c>
      <c r="F676" s="22" t="str">
        <f t="shared" si="2"/>
        <v/>
      </c>
    </row>
    <row r="677">
      <c r="A677" s="18" t="str">
        <f>'Cashflow Schedule'!B677</f>
        <v/>
      </c>
      <c r="B677" s="18" t="str">
        <f>'Cashflow Schedule'!E677</f>
        <v/>
      </c>
      <c r="C677" s="22" t="str">
        <f>IF(A677="","",Inputs!$C$6*EXP((Inputs!$C$8-Inputs!$C$7)*A677))</f>
        <v/>
      </c>
      <c r="D677" s="22" t="str">
        <f t="shared" si="1"/>
        <v/>
      </c>
      <c r="E677" s="21" t="str">
        <f>IF(A677="","",EXP(-Inputs!$C$8*A677))</f>
        <v/>
      </c>
      <c r="F677" s="22" t="str">
        <f t="shared" si="2"/>
        <v/>
      </c>
    </row>
    <row r="678">
      <c r="A678" s="18" t="str">
        <f>'Cashflow Schedule'!B678</f>
        <v/>
      </c>
      <c r="B678" s="18" t="str">
        <f>'Cashflow Schedule'!E678</f>
        <v/>
      </c>
      <c r="C678" s="22" t="str">
        <f>IF(A678="","",Inputs!$C$6*EXP((Inputs!$C$8-Inputs!$C$7)*A678))</f>
        <v/>
      </c>
      <c r="D678" s="22" t="str">
        <f t="shared" si="1"/>
        <v/>
      </c>
      <c r="E678" s="21" t="str">
        <f>IF(A678="","",EXP(-Inputs!$C$8*A678))</f>
        <v/>
      </c>
      <c r="F678" s="22" t="str">
        <f t="shared" si="2"/>
        <v/>
      </c>
    </row>
    <row r="679">
      <c r="A679" s="18" t="str">
        <f>'Cashflow Schedule'!B679</f>
        <v/>
      </c>
      <c r="B679" s="18" t="str">
        <f>'Cashflow Schedule'!E679</f>
        <v/>
      </c>
      <c r="C679" s="22" t="str">
        <f>IF(A679="","",Inputs!$C$6*EXP((Inputs!$C$8-Inputs!$C$7)*A679))</f>
        <v/>
      </c>
      <c r="D679" s="22" t="str">
        <f t="shared" si="1"/>
        <v/>
      </c>
      <c r="E679" s="21" t="str">
        <f>IF(A679="","",EXP(-Inputs!$C$8*A679))</f>
        <v/>
      </c>
      <c r="F679" s="22" t="str">
        <f t="shared" si="2"/>
        <v/>
      </c>
    </row>
    <row r="680">
      <c r="A680" s="18" t="str">
        <f>'Cashflow Schedule'!B680</f>
        <v/>
      </c>
      <c r="B680" s="18" t="str">
        <f>'Cashflow Schedule'!E680</f>
        <v/>
      </c>
      <c r="C680" s="22" t="str">
        <f>IF(A680="","",Inputs!$C$6*EXP((Inputs!$C$8-Inputs!$C$7)*A680))</f>
        <v/>
      </c>
      <c r="D680" s="22" t="str">
        <f t="shared" si="1"/>
        <v/>
      </c>
      <c r="E680" s="21" t="str">
        <f>IF(A680="","",EXP(-Inputs!$C$8*A680))</f>
        <v/>
      </c>
      <c r="F680" s="22" t="str">
        <f t="shared" si="2"/>
        <v/>
      </c>
    </row>
    <row r="681">
      <c r="A681" s="18" t="str">
        <f>'Cashflow Schedule'!B681</f>
        <v/>
      </c>
      <c r="B681" s="18" t="str">
        <f>'Cashflow Schedule'!E681</f>
        <v/>
      </c>
      <c r="C681" s="22" t="str">
        <f>IF(A681="","",Inputs!$C$6*EXP((Inputs!$C$8-Inputs!$C$7)*A681))</f>
        <v/>
      </c>
      <c r="D681" s="22" t="str">
        <f t="shared" si="1"/>
        <v/>
      </c>
      <c r="E681" s="21" t="str">
        <f>IF(A681="","",EXP(-Inputs!$C$8*A681))</f>
        <v/>
      </c>
      <c r="F681" s="22" t="str">
        <f t="shared" si="2"/>
        <v/>
      </c>
    </row>
    <row r="682">
      <c r="A682" s="18" t="str">
        <f>'Cashflow Schedule'!B682</f>
        <v/>
      </c>
      <c r="B682" s="18" t="str">
        <f>'Cashflow Schedule'!E682</f>
        <v/>
      </c>
      <c r="C682" s="22" t="str">
        <f>IF(A682="","",Inputs!$C$6*EXP((Inputs!$C$8-Inputs!$C$7)*A682))</f>
        <v/>
      </c>
      <c r="D682" s="22" t="str">
        <f t="shared" si="1"/>
        <v/>
      </c>
      <c r="E682" s="21" t="str">
        <f>IF(A682="","",EXP(-Inputs!$C$8*A682))</f>
        <v/>
      </c>
      <c r="F682" s="22" t="str">
        <f t="shared" si="2"/>
        <v/>
      </c>
    </row>
    <row r="683">
      <c r="A683" s="18" t="str">
        <f>'Cashflow Schedule'!B683</f>
        <v/>
      </c>
      <c r="B683" s="18" t="str">
        <f>'Cashflow Schedule'!E683</f>
        <v/>
      </c>
      <c r="C683" s="22" t="str">
        <f>IF(A683="","",Inputs!$C$6*EXP((Inputs!$C$8-Inputs!$C$7)*A683))</f>
        <v/>
      </c>
      <c r="D683" s="22" t="str">
        <f t="shared" si="1"/>
        <v/>
      </c>
      <c r="E683" s="21" t="str">
        <f>IF(A683="","",EXP(-Inputs!$C$8*A683))</f>
        <v/>
      </c>
      <c r="F683" s="22" t="str">
        <f t="shared" si="2"/>
        <v/>
      </c>
    </row>
    <row r="684">
      <c r="A684" s="18" t="str">
        <f>'Cashflow Schedule'!B684</f>
        <v/>
      </c>
      <c r="B684" s="18" t="str">
        <f>'Cashflow Schedule'!E684</f>
        <v/>
      </c>
      <c r="C684" s="22" t="str">
        <f>IF(A684="","",Inputs!$C$6*EXP((Inputs!$C$8-Inputs!$C$7)*A684))</f>
        <v/>
      </c>
      <c r="D684" s="22" t="str">
        <f t="shared" si="1"/>
        <v/>
      </c>
      <c r="E684" s="21" t="str">
        <f>IF(A684="","",EXP(-Inputs!$C$8*A684))</f>
        <v/>
      </c>
      <c r="F684" s="22" t="str">
        <f t="shared" si="2"/>
        <v/>
      </c>
    </row>
    <row r="685">
      <c r="A685" s="18" t="str">
        <f>'Cashflow Schedule'!B685</f>
        <v/>
      </c>
      <c r="B685" s="18" t="str">
        <f>'Cashflow Schedule'!E685</f>
        <v/>
      </c>
      <c r="C685" s="22" t="str">
        <f>IF(A685="","",Inputs!$C$6*EXP((Inputs!$C$8-Inputs!$C$7)*A685))</f>
        <v/>
      </c>
      <c r="D685" s="22" t="str">
        <f t="shared" si="1"/>
        <v/>
      </c>
      <c r="E685" s="21" t="str">
        <f>IF(A685="","",EXP(-Inputs!$C$8*A685))</f>
        <v/>
      </c>
      <c r="F685" s="22" t="str">
        <f t="shared" si="2"/>
        <v/>
      </c>
    </row>
    <row r="686">
      <c r="A686" s="18" t="str">
        <f>'Cashflow Schedule'!B686</f>
        <v/>
      </c>
      <c r="B686" s="18" t="str">
        <f>'Cashflow Schedule'!E686</f>
        <v/>
      </c>
      <c r="C686" s="22" t="str">
        <f>IF(A686="","",Inputs!$C$6*EXP((Inputs!$C$8-Inputs!$C$7)*A686))</f>
        <v/>
      </c>
      <c r="D686" s="22" t="str">
        <f t="shared" si="1"/>
        <v/>
      </c>
      <c r="E686" s="21" t="str">
        <f>IF(A686="","",EXP(-Inputs!$C$8*A686))</f>
        <v/>
      </c>
      <c r="F686" s="22" t="str">
        <f t="shared" si="2"/>
        <v/>
      </c>
    </row>
    <row r="687">
      <c r="A687" s="18" t="str">
        <f>'Cashflow Schedule'!B687</f>
        <v/>
      </c>
      <c r="B687" s="18" t="str">
        <f>'Cashflow Schedule'!E687</f>
        <v/>
      </c>
      <c r="C687" s="22" t="str">
        <f>IF(A687="","",Inputs!$C$6*EXP((Inputs!$C$8-Inputs!$C$7)*A687))</f>
        <v/>
      </c>
      <c r="D687" s="22" t="str">
        <f t="shared" si="1"/>
        <v/>
      </c>
      <c r="E687" s="21" t="str">
        <f>IF(A687="","",EXP(-Inputs!$C$8*A687))</f>
        <v/>
      </c>
      <c r="F687" s="22" t="str">
        <f t="shared" si="2"/>
        <v/>
      </c>
    </row>
    <row r="688">
      <c r="A688" s="18" t="str">
        <f>'Cashflow Schedule'!B688</f>
        <v/>
      </c>
      <c r="B688" s="18" t="str">
        <f>'Cashflow Schedule'!E688</f>
        <v/>
      </c>
      <c r="C688" s="22" t="str">
        <f>IF(A688="","",Inputs!$C$6*EXP((Inputs!$C$8-Inputs!$C$7)*A688))</f>
        <v/>
      </c>
      <c r="D688" s="22" t="str">
        <f t="shared" si="1"/>
        <v/>
      </c>
      <c r="E688" s="21" t="str">
        <f>IF(A688="","",EXP(-Inputs!$C$8*A688))</f>
        <v/>
      </c>
      <c r="F688" s="22" t="str">
        <f t="shared" si="2"/>
        <v/>
      </c>
    </row>
    <row r="689">
      <c r="A689" s="18" t="str">
        <f>'Cashflow Schedule'!B689</f>
        <v/>
      </c>
      <c r="B689" s="18" t="str">
        <f>'Cashflow Schedule'!E689</f>
        <v/>
      </c>
      <c r="C689" s="22" t="str">
        <f>IF(A689="","",Inputs!$C$6*EXP((Inputs!$C$8-Inputs!$C$7)*A689))</f>
        <v/>
      </c>
      <c r="D689" s="22" t="str">
        <f t="shared" si="1"/>
        <v/>
      </c>
      <c r="E689" s="21" t="str">
        <f>IF(A689="","",EXP(-Inputs!$C$8*A689))</f>
        <v/>
      </c>
      <c r="F689" s="22" t="str">
        <f t="shared" si="2"/>
        <v/>
      </c>
    </row>
    <row r="690">
      <c r="A690" s="18" t="str">
        <f>'Cashflow Schedule'!B690</f>
        <v/>
      </c>
      <c r="B690" s="18" t="str">
        <f>'Cashflow Schedule'!E690</f>
        <v/>
      </c>
      <c r="C690" s="22" t="str">
        <f>IF(A690="","",Inputs!$C$6*EXP((Inputs!$C$8-Inputs!$C$7)*A690))</f>
        <v/>
      </c>
      <c r="D690" s="22" t="str">
        <f t="shared" si="1"/>
        <v/>
      </c>
      <c r="E690" s="21" t="str">
        <f>IF(A690="","",EXP(-Inputs!$C$8*A690))</f>
        <v/>
      </c>
      <c r="F690" s="22" t="str">
        <f t="shared" si="2"/>
        <v/>
      </c>
    </row>
    <row r="691">
      <c r="A691" s="18" t="str">
        <f>'Cashflow Schedule'!B691</f>
        <v/>
      </c>
      <c r="B691" s="18" t="str">
        <f>'Cashflow Schedule'!E691</f>
        <v/>
      </c>
      <c r="C691" s="22" t="str">
        <f>IF(A691="","",Inputs!$C$6*EXP((Inputs!$C$8-Inputs!$C$7)*A691))</f>
        <v/>
      </c>
      <c r="D691" s="22" t="str">
        <f t="shared" si="1"/>
        <v/>
      </c>
      <c r="E691" s="21" t="str">
        <f>IF(A691="","",EXP(-Inputs!$C$8*A691))</f>
        <v/>
      </c>
      <c r="F691" s="22" t="str">
        <f t="shared" si="2"/>
        <v/>
      </c>
    </row>
    <row r="692">
      <c r="A692" s="18" t="str">
        <f>'Cashflow Schedule'!B692</f>
        <v/>
      </c>
      <c r="B692" s="18" t="str">
        <f>'Cashflow Schedule'!E692</f>
        <v/>
      </c>
      <c r="C692" s="22" t="str">
        <f>IF(A692="","",Inputs!$C$6*EXP((Inputs!$C$8-Inputs!$C$7)*A692))</f>
        <v/>
      </c>
      <c r="D692" s="22" t="str">
        <f t="shared" si="1"/>
        <v/>
      </c>
      <c r="E692" s="21" t="str">
        <f>IF(A692="","",EXP(-Inputs!$C$8*A692))</f>
        <v/>
      </c>
      <c r="F692" s="22" t="str">
        <f t="shared" si="2"/>
        <v/>
      </c>
    </row>
    <row r="693">
      <c r="A693" s="18" t="str">
        <f>'Cashflow Schedule'!B693</f>
        <v/>
      </c>
      <c r="B693" s="18" t="str">
        <f>'Cashflow Schedule'!E693</f>
        <v/>
      </c>
      <c r="C693" s="22" t="str">
        <f>IF(A693="","",Inputs!$C$6*EXP((Inputs!$C$8-Inputs!$C$7)*A693))</f>
        <v/>
      </c>
      <c r="D693" s="22" t="str">
        <f t="shared" si="1"/>
        <v/>
      </c>
      <c r="E693" s="21" t="str">
        <f>IF(A693="","",EXP(-Inputs!$C$8*A693))</f>
        <v/>
      </c>
      <c r="F693" s="22" t="str">
        <f t="shared" si="2"/>
        <v/>
      </c>
    </row>
    <row r="694">
      <c r="A694" s="18" t="str">
        <f>'Cashflow Schedule'!B694</f>
        <v/>
      </c>
      <c r="B694" s="18" t="str">
        <f>'Cashflow Schedule'!E694</f>
        <v/>
      </c>
      <c r="C694" s="22" t="str">
        <f>IF(A694="","",Inputs!$C$6*EXP((Inputs!$C$8-Inputs!$C$7)*A694))</f>
        <v/>
      </c>
      <c r="D694" s="22" t="str">
        <f t="shared" si="1"/>
        <v/>
      </c>
      <c r="E694" s="21" t="str">
        <f>IF(A694="","",EXP(-Inputs!$C$8*A694))</f>
        <v/>
      </c>
      <c r="F694" s="22" t="str">
        <f t="shared" si="2"/>
        <v/>
      </c>
    </row>
    <row r="695">
      <c r="A695" s="18" t="str">
        <f>'Cashflow Schedule'!B695</f>
        <v/>
      </c>
      <c r="B695" s="18" t="str">
        <f>'Cashflow Schedule'!E695</f>
        <v/>
      </c>
      <c r="C695" s="22" t="str">
        <f>IF(A695="","",Inputs!$C$6*EXP((Inputs!$C$8-Inputs!$C$7)*A695))</f>
        <v/>
      </c>
      <c r="D695" s="22" t="str">
        <f t="shared" si="1"/>
        <v/>
      </c>
      <c r="E695" s="21" t="str">
        <f>IF(A695="","",EXP(-Inputs!$C$8*A695))</f>
        <v/>
      </c>
      <c r="F695" s="22" t="str">
        <f t="shared" si="2"/>
        <v/>
      </c>
    </row>
    <row r="696">
      <c r="A696" s="18" t="str">
        <f>'Cashflow Schedule'!B696</f>
        <v/>
      </c>
      <c r="B696" s="18" t="str">
        <f>'Cashflow Schedule'!E696</f>
        <v/>
      </c>
      <c r="C696" s="22" t="str">
        <f>IF(A696="","",Inputs!$C$6*EXP((Inputs!$C$8-Inputs!$C$7)*A696))</f>
        <v/>
      </c>
      <c r="D696" s="22" t="str">
        <f t="shared" si="1"/>
        <v/>
      </c>
      <c r="E696" s="21" t="str">
        <f>IF(A696="","",EXP(-Inputs!$C$8*A696))</f>
        <v/>
      </c>
      <c r="F696" s="22" t="str">
        <f t="shared" si="2"/>
        <v/>
      </c>
    </row>
    <row r="697">
      <c r="A697" s="18" t="str">
        <f>'Cashflow Schedule'!B697</f>
        <v/>
      </c>
      <c r="B697" s="18" t="str">
        <f>'Cashflow Schedule'!E697</f>
        <v/>
      </c>
      <c r="C697" s="22" t="str">
        <f>IF(A697="","",Inputs!$C$6*EXP((Inputs!$C$8-Inputs!$C$7)*A697))</f>
        <v/>
      </c>
      <c r="D697" s="22" t="str">
        <f t="shared" si="1"/>
        <v/>
      </c>
      <c r="E697" s="21" t="str">
        <f>IF(A697="","",EXP(-Inputs!$C$8*A697))</f>
        <v/>
      </c>
      <c r="F697" s="22" t="str">
        <f t="shared" si="2"/>
        <v/>
      </c>
    </row>
    <row r="698">
      <c r="A698" s="18" t="str">
        <f>'Cashflow Schedule'!B698</f>
        <v/>
      </c>
      <c r="B698" s="18" t="str">
        <f>'Cashflow Schedule'!E698</f>
        <v/>
      </c>
      <c r="C698" s="22" t="str">
        <f>IF(A698="","",Inputs!$C$6*EXP((Inputs!$C$8-Inputs!$C$7)*A698))</f>
        <v/>
      </c>
      <c r="D698" s="22" t="str">
        <f t="shared" si="1"/>
        <v/>
      </c>
      <c r="E698" s="21" t="str">
        <f>IF(A698="","",EXP(-Inputs!$C$8*A698))</f>
        <v/>
      </c>
      <c r="F698" s="22" t="str">
        <f t="shared" si="2"/>
        <v/>
      </c>
    </row>
    <row r="699">
      <c r="A699" s="18" t="str">
        <f>'Cashflow Schedule'!B699</f>
        <v/>
      </c>
      <c r="B699" s="18" t="str">
        <f>'Cashflow Schedule'!E699</f>
        <v/>
      </c>
      <c r="C699" s="22" t="str">
        <f>IF(A699="","",Inputs!$C$6*EXP((Inputs!$C$8-Inputs!$C$7)*A699))</f>
        <v/>
      </c>
      <c r="D699" s="22" t="str">
        <f t="shared" si="1"/>
        <v/>
      </c>
      <c r="E699" s="21" t="str">
        <f>IF(A699="","",EXP(-Inputs!$C$8*A699))</f>
        <v/>
      </c>
      <c r="F699" s="22" t="str">
        <f t="shared" si="2"/>
        <v/>
      </c>
    </row>
    <row r="700">
      <c r="A700" s="18" t="str">
        <f>'Cashflow Schedule'!B700</f>
        <v/>
      </c>
      <c r="B700" s="18" t="str">
        <f>'Cashflow Schedule'!E700</f>
        <v/>
      </c>
      <c r="C700" s="22" t="str">
        <f>IF(A700="","",Inputs!$C$6*EXP((Inputs!$C$8-Inputs!$C$7)*A700))</f>
        <v/>
      </c>
      <c r="D700" s="22" t="str">
        <f t="shared" si="1"/>
        <v/>
      </c>
      <c r="E700" s="21" t="str">
        <f>IF(A700="","",EXP(-Inputs!$C$8*A700))</f>
        <v/>
      </c>
      <c r="F700" s="22" t="str">
        <f t="shared" si="2"/>
        <v/>
      </c>
    </row>
    <row r="701">
      <c r="A701" s="18" t="str">
        <f>'Cashflow Schedule'!B701</f>
        <v/>
      </c>
      <c r="B701" s="18" t="str">
        <f>'Cashflow Schedule'!E701</f>
        <v/>
      </c>
      <c r="C701" s="22" t="str">
        <f>IF(A701="","",Inputs!$C$6*EXP((Inputs!$C$8-Inputs!$C$7)*A701))</f>
        <v/>
      </c>
      <c r="D701" s="22" t="str">
        <f t="shared" si="1"/>
        <v/>
      </c>
      <c r="E701" s="21" t="str">
        <f>IF(A701="","",EXP(-Inputs!$C$8*A701))</f>
        <v/>
      </c>
      <c r="F701" s="22" t="str">
        <f t="shared" si="2"/>
        <v/>
      </c>
    </row>
    <row r="702">
      <c r="A702" s="18" t="str">
        <f>'Cashflow Schedule'!B702</f>
        <v/>
      </c>
      <c r="B702" s="18" t="str">
        <f>'Cashflow Schedule'!E702</f>
        <v/>
      </c>
      <c r="C702" s="22" t="str">
        <f>IF(A702="","",Inputs!$C$6*EXP((Inputs!$C$8-Inputs!$C$7)*A702))</f>
        <v/>
      </c>
      <c r="D702" s="22" t="str">
        <f t="shared" si="1"/>
        <v/>
      </c>
      <c r="E702" s="21" t="str">
        <f>IF(A702="","",EXP(-Inputs!$C$8*A702))</f>
        <v/>
      </c>
      <c r="F702" s="22" t="str">
        <f t="shared" si="2"/>
        <v/>
      </c>
    </row>
    <row r="703">
      <c r="A703" s="18" t="str">
        <f>'Cashflow Schedule'!B703</f>
        <v/>
      </c>
      <c r="B703" s="18" t="str">
        <f>'Cashflow Schedule'!E703</f>
        <v/>
      </c>
      <c r="C703" s="22" t="str">
        <f>IF(A703="","",Inputs!$C$6*EXP((Inputs!$C$8-Inputs!$C$7)*A703))</f>
        <v/>
      </c>
      <c r="D703" s="22" t="str">
        <f t="shared" si="1"/>
        <v/>
      </c>
      <c r="E703" s="21" t="str">
        <f>IF(A703="","",EXP(-Inputs!$C$8*A703))</f>
        <v/>
      </c>
      <c r="F703" s="22" t="str">
        <f t="shared" si="2"/>
        <v/>
      </c>
    </row>
    <row r="704">
      <c r="A704" s="18" t="str">
        <f>'Cashflow Schedule'!B704</f>
        <v/>
      </c>
      <c r="B704" s="18" t="str">
        <f>'Cashflow Schedule'!E704</f>
        <v/>
      </c>
      <c r="C704" s="22" t="str">
        <f>IF(A704="","",Inputs!$C$6*EXP((Inputs!$C$8-Inputs!$C$7)*A704))</f>
        <v/>
      </c>
      <c r="D704" s="22" t="str">
        <f t="shared" si="1"/>
        <v/>
      </c>
      <c r="E704" s="21" t="str">
        <f>IF(A704="","",EXP(-Inputs!$C$8*A704))</f>
        <v/>
      </c>
      <c r="F704" s="22" t="str">
        <f t="shared" si="2"/>
        <v/>
      </c>
    </row>
    <row r="705">
      <c r="A705" s="18" t="str">
        <f>'Cashflow Schedule'!B705</f>
        <v/>
      </c>
      <c r="B705" s="18" t="str">
        <f>'Cashflow Schedule'!E705</f>
        <v/>
      </c>
      <c r="C705" s="22" t="str">
        <f>IF(A705="","",Inputs!$C$6*EXP((Inputs!$C$8-Inputs!$C$7)*A705))</f>
        <v/>
      </c>
      <c r="D705" s="22" t="str">
        <f t="shared" si="1"/>
        <v/>
      </c>
      <c r="E705" s="21" t="str">
        <f>IF(A705="","",EXP(-Inputs!$C$8*A705))</f>
        <v/>
      </c>
      <c r="F705" s="22" t="str">
        <f t="shared" si="2"/>
        <v/>
      </c>
    </row>
    <row r="706">
      <c r="A706" s="18" t="str">
        <f>'Cashflow Schedule'!B706</f>
        <v/>
      </c>
      <c r="B706" s="18" t="str">
        <f>'Cashflow Schedule'!E706</f>
        <v/>
      </c>
      <c r="C706" s="22" t="str">
        <f>IF(A706="","",Inputs!$C$6*EXP((Inputs!$C$8-Inputs!$C$7)*A706))</f>
        <v/>
      </c>
      <c r="D706" s="22" t="str">
        <f t="shared" si="1"/>
        <v/>
      </c>
      <c r="E706" s="21" t="str">
        <f>IF(A706="","",EXP(-Inputs!$C$8*A706))</f>
        <v/>
      </c>
      <c r="F706" s="22" t="str">
        <f t="shared" si="2"/>
        <v/>
      </c>
    </row>
    <row r="707">
      <c r="A707" s="18" t="str">
        <f>'Cashflow Schedule'!B707</f>
        <v/>
      </c>
      <c r="B707" s="18" t="str">
        <f>'Cashflow Schedule'!E707</f>
        <v/>
      </c>
      <c r="C707" s="22" t="str">
        <f>IF(A707="","",Inputs!$C$6*EXP((Inputs!$C$8-Inputs!$C$7)*A707))</f>
        <v/>
      </c>
      <c r="D707" s="22" t="str">
        <f t="shared" si="1"/>
        <v/>
      </c>
      <c r="E707" s="21" t="str">
        <f>IF(A707="","",EXP(-Inputs!$C$8*A707))</f>
        <v/>
      </c>
      <c r="F707" s="22" t="str">
        <f t="shared" si="2"/>
        <v/>
      </c>
    </row>
    <row r="708">
      <c r="A708" s="18" t="str">
        <f>'Cashflow Schedule'!B708</f>
        <v/>
      </c>
      <c r="B708" s="18" t="str">
        <f>'Cashflow Schedule'!E708</f>
        <v/>
      </c>
      <c r="C708" s="22" t="str">
        <f>IF(A708="","",Inputs!$C$6*EXP((Inputs!$C$8-Inputs!$C$7)*A708))</f>
        <v/>
      </c>
      <c r="D708" s="22" t="str">
        <f t="shared" si="1"/>
        <v/>
      </c>
      <c r="E708" s="21" t="str">
        <f>IF(A708="","",EXP(-Inputs!$C$8*A708))</f>
        <v/>
      </c>
      <c r="F708" s="22" t="str">
        <f t="shared" si="2"/>
        <v/>
      </c>
    </row>
    <row r="709">
      <c r="A709" s="18" t="str">
        <f>'Cashflow Schedule'!B709</f>
        <v/>
      </c>
      <c r="B709" s="18" t="str">
        <f>'Cashflow Schedule'!E709</f>
        <v/>
      </c>
      <c r="C709" s="22" t="str">
        <f>IF(A709="","",Inputs!$C$6*EXP((Inputs!$C$8-Inputs!$C$7)*A709))</f>
        <v/>
      </c>
      <c r="D709" s="22" t="str">
        <f t="shared" si="1"/>
        <v/>
      </c>
      <c r="E709" s="21" t="str">
        <f>IF(A709="","",EXP(-Inputs!$C$8*A709))</f>
        <v/>
      </c>
      <c r="F709" s="22" t="str">
        <f t="shared" si="2"/>
        <v/>
      </c>
    </row>
    <row r="710">
      <c r="A710" s="18" t="str">
        <f>'Cashflow Schedule'!B710</f>
        <v/>
      </c>
      <c r="B710" s="18" t="str">
        <f>'Cashflow Schedule'!E710</f>
        <v/>
      </c>
      <c r="C710" s="22" t="str">
        <f>IF(A710="","",Inputs!$C$6*EXP((Inputs!$C$8-Inputs!$C$7)*A710))</f>
        <v/>
      </c>
      <c r="D710" s="22" t="str">
        <f t="shared" si="1"/>
        <v/>
      </c>
      <c r="E710" s="21" t="str">
        <f>IF(A710="","",EXP(-Inputs!$C$8*A710))</f>
        <v/>
      </c>
      <c r="F710" s="22" t="str">
        <f t="shared" si="2"/>
        <v/>
      </c>
    </row>
    <row r="711">
      <c r="A711" s="18" t="str">
        <f>'Cashflow Schedule'!B711</f>
        <v/>
      </c>
      <c r="B711" s="18" t="str">
        <f>'Cashflow Schedule'!E711</f>
        <v/>
      </c>
      <c r="C711" s="22" t="str">
        <f>IF(A711="","",Inputs!$C$6*EXP((Inputs!$C$8-Inputs!$C$7)*A711))</f>
        <v/>
      </c>
      <c r="D711" s="22" t="str">
        <f t="shared" si="1"/>
        <v/>
      </c>
      <c r="E711" s="21" t="str">
        <f>IF(A711="","",EXP(-Inputs!$C$8*A711))</f>
        <v/>
      </c>
      <c r="F711" s="22" t="str">
        <f t="shared" si="2"/>
        <v/>
      </c>
    </row>
    <row r="712">
      <c r="A712" s="18" t="str">
        <f>'Cashflow Schedule'!B712</f>
        <v/>
      </c>
      <c r="B712" s="18" t="str">
        <f>'Cashflow Schedule'!E712</f>
        <v/>
      </c>
      <c r="C712" s="22" t="str">
        <f>IF(A712="","",Inputs!$C$6*EXP((Inputs!$C$8-Inputs!$C$7)*A712))</f>
        <v/>
      </c>
      <c r="D712" s="22" t="str">
        <f t="shared" si="1"/>
        <v/>
      </c>
      <c r="E712" s="21" t="str">
        <f>IF(A712="","",EXP(-Inputs!$C$8*A712))</f>
        <v/>
      </c>
      <c r="F712" s="22" t="str">
        <f t="shared" si="2"/>
        <v/>
      </c>
    </row>
    <row r="713">
      <c r="A713" s="18" t="str">
        <f>'Cashflow Schedule'!B713</f>
        <v/>
      </c>
      <c r="B713" s="18" t="str">
        <f>'Cashflow Schedule'!E713</f>
        <v/>
      </c>
      <c r="C713" s="22" t="str">
        <f>IF(A713="","",Inputs!$C$6*EXP((Inputs!$C$8-Inputs!$C$7)*A713))</f>
        <v/>
      </c>
      <c r="D713" s="22" t="str">
        <f t="shared" si="1"/>
        <v/>
      </c>
      <c r="E713" s="21" t="str">
        <f>IF(A713="","",EXP(-Inputs!$C$8*A713))</f>
        <v/>
      </c>
      <c r="F713" s="22" t="str">
        <f t="shared" si="2"/>
        <v/>
      </c>
    </row>
    <row r="714">
      <c r="A714" s="18" t="str">
        <f>'Cashflow Schedule'!B714</f>
        <v/>
      </c>
      <c r="B714" s="18" t="str">
        <f>'Cashflow Schedule'!E714</f>
        <v/>
      </c>
      <c r="C714" s="22" t="str">
        <f>IF(A714="","",Inputs!$C$6*EXP((Inputs!$C$8-Inputs!$C$7)*A714))</f>
        <v/>
      </c>
      <c r="D714" s="22" t="str">
        <f t="shared" si="1"/>
        <v/>
      </c>
      <c r="E714" s="21" t="str">
        <f>IF(A714="","",EXP(-Inputs!$C$8*A714))</f>
        <v/>
      </c>
      <c r="F714" s="22" t="str">
        <f t="shared" si="2"/>
        <v/>
      </c>
    </row>
    <row r="715">
      <c r="A715" s="18" t="str">
        <f>'Cashflow Schedule'!B715</f>
        <v/>
      </c>
      <c r="B715" s="18" t="str">
        <f>'Cashflow Schedule'!E715</f>
        <v/>
      </c>
      <c r="C715" s="22" t="str">
        <f>IF(A715="","",Inputs!$C$6*EXP((Inputs!$C$8-Inputs!$C$7)*A715))</f>
        <v/>
      </c>
      <c r="D715" s="22" t="str">
        <f t="shared" si="1"/>
        <v/>
      </c>
      <c r="E715" s="21" t="str">
        <f>IF(A715="","",EXP(-Inputs!$C$8*A715))</f>
        <v/>
      </c>
      <c r="F715" s="22" t="str">
        <f t="shared" si="2"/>
        <v/>
      </c>
    </row>
    <row r="716">
      <c r="A716" s="18" t="str">
        <f>'Cashflow Schedule'!B716</f>
        <v/>
      </c>
      <c r="B716" s="18" t="str">
        <f>'Cashflow Schedule'!E716</f>
        <v/>
      </c>
      <c r="C716" s="22" t="str">
        <f>IF(A716="","",Inputs!$C$6*EXP((Inputs!$C$8-Inputs!$C$7)*A716))</f>
        <v/>
      </c>
      <c r="D716" s="22" t="str">
        <f t="shared" si="1"/>
        <v/>
      </c>
      <c r="E716" s="21" t="str">
        <f>IF(A716="","",EXP(-Inputs!$C$8*A716))</f>
        <v/>
      </c>
      <c r="F716" s="22" t="str">
        <f t="shared" si="2"/>
        <v/>
      </c>
    </row>
    <row r="717">
      <c r="A717" s="18" t="str">
        <f>'Cashflow Schedule'!B717</f>
        <v/>
      </c>
      <c r="B717" s="18" t="str">
        <f>'Cashflow Schedule'!E717</f>
        <v/>
      </c>
      <c r="C717" s="22" t="str">
        <f>IF(A717="","",Inputs!$C$6*EXP((Inputs!$C$8-Inputs!$C$7)*A717))</f>
        <v/>
      </c>
      <c r="D717" s="22" t="str">
        <f t="shared" si="1"/>
        <v/>
      </c>
      <c r="E717" s="21" t="str">
        <f>IF(A717="","",EXP(-Inputs!$C$8*A717))</f>
        <v/>
      </c>
      <c r="F717" s="22" t="str">
        <f t="shared" si="2"/>
        <v/>
      </c>
    </row>
    <row r="718">
      <c r="A718" s="18" t="str">
        <f>'Cashflow Schedule'!B718</f>
        <v/>
      </c>
      <c r="B718" s="18" t="str">
        <f>'Cashflow Schedule'!E718</f>
        <v/>
      </c>
      <c r="C718" s="22" t="str">
        <f>IF(A718="","",Inputs!$C$6*EXP((Inputs!$C$8-Inputs!$C$7)*A718))</f>
        <v/>
      </c>
      <c r="D718" s="22" t="str">
        <f t="shared" si="1"/>
        <v/>
      </c>
      <c r="E718" s="21" t="str">
        <f>IF(A718="","",EXP(-Inputs!$C$8*A718))</f>
        <v/>
      </c>
      <c r="F718" s="22" t="str">
        <f t="shared" si="2"/>
        <v/>
      </c>
    </row>
    <row r="719">
      <c r="A719" s="18" t="str">
        <f>'Cashflow Schedule'!B719</f>
        <v/>
      </c>
      <c r="B719" s="18" t="str">
        <f>'Cashflow Schedule'!E719</f>
        <v/>
      </c>
      <c r="C719" s="22" t="str">
        <f>IF(A719="","",Inputs!$C$6*EXP((Inputs!$C$8-Inputs!$C$7)*A719))</f>
        <v/>
      </c>
      <c r="D719" s="22" t="str">
        <f t="shared" si="1"/>
        <v/>
      </c>
      <c r="E719" s="21" t="str">
        <f>IF(A719="","",EXP(-Inputs!$C$8*A719))</f>
        <v/>
      </c>
      <c r="F719" s="22" t="str">
        <f t="shared" si="2"/>
        <v/>
      </c>
    </row>
    <row r="720">
      <c r="A720" s="18" t="str">
        <f>'Cashflow Schedule'!B720</f>
        <v/>
      </c>
      <c r="B720" s="18" t="str">
        <f>'Cashflow Schedule'!E720</f>
        <v/>
      </c>
      <c r="C720" s="22" t="str">
        <f>IF(A720="","",Inputs!$C$6*EXP((Inputs!$C$8-Inputs!$C$7)*A720))</f>
        <v/>
      </c>
      <c r="D720" s="22" t="str">
        <f t="shared" si="1"/>
        <v/>
      </c>
      <c r="E720" s="21" t="str">
        <f>IF(A720="","",EXP(-Inputs!$C$8*A720))</f>
        <v/>
      </c>
      <c r="F720" s="22" t="str">
        <f t="shared" si="2"/>
        <v/>
      </c>
    </row>
    <row r="721">
      <c r="A721" s="18" t="str">
        <f>'Cashflow Schedule'!B721</f>
        <v/>
      </c>
      <c r="B721" s="18" t="str">
        <f>'Cashflow Schedule'!E721</f>
        <v/>
      </c>
      <c r="C721" s="22" t="str">
        <f>IF(A721="","",Inputs!$C$6*EXP((Inputs!$C$8-Inputs!$C$7)*A721))</f>
        <v/>
      </c>
      <c r="D721" s="22" t="str">
        <f t="shared" si="1"/>
        <v/>
      </c>
      <c r="E721" s="21" t="str">
        <f>IF(A721="","",EXP(-Inputs!$C$8*A721))</f>
        <v/>
      </c>
      <c r="F721" s="22" t="str">
        <f t="shared" si="2"/>
        <v/>
      </c>
    </row>
    <row r="722">
      <c r="A722" s="18" t="str">
        <f>'Cashflow Schedule'!B722</f>
        <v/>
      </c>
      <c r="B722" s="18" t="str">
        <f>'Cashflow Schedule'!E722</f>
        <v/>
      </c>
      <c r="C722" s="22" t="str">
        <f>IF(A722="","",Inputs!$C$6*EXP((Inputs!$C$8-Inputs!$C$7)*A722))</f>
        <v/>
      </c>
      <c r="D722" s="22" t="str">
        <f t="shared" si="1"/>
        <v/>
      </c>
      <c r="E722" s="21" t="str">
        <f>IF(A722="","",EXP(-Inputs!$C$8*A722))</f>
        <v/>
      </c>
      <c r="F722" s="22" t="str">
        <f t="shared" si="2"/>
        <v/>
      </c>
    </row>
    <row r="723">
      <c r="A723" s="18" t="str">
        <f>'Cashflow Schedule'!B723</f>
        <v/>
      </c>
      <c r="B723" s="18" t="str">
        <f>'Cashflow Schedule'!E723</f>
        <v/>
      </c>
      <c r="C723" s="22" t="str">
        <f>IF(A723="","",Inputs!$C$6*EXP((Inputs!$C$8-Inputs!$C$7)*A723))</f>
        <v/>
      </c>
      <c r="D723" s="22" t="str">
        <f t="shared" si="1"/>
        <v/>
      </c>
      <c r="E723" s="21" t="str">
        <f>IF(A723="","",EXP(-Inputs!$C$8*A723))</f>
        <v/>
      </c>
      <c r="F723" s="22" t="str">
        <f t="shared" si="2"/>
        <v/>
      </c>
    </row>
    <row r="724">
      <c r="A724" s="18" t="str">
        <f>'Cashflow Schedule'!B724</f>
        <v/>
      </c>
      <c r="B724" s="18" t="str">
        <f>'Cashflow Schedule'!E724</f>
        <v/>
      </c>
      <c r="C724" s="22" t="str">
        <f>IF(A724="","",Inputs!$C$6*EXP((Inputs!$C$8-Inputs!$C$7)*A724))</f>
        <v/>
      </c>
      <c r="D724" s="22" t="str">
        <f t="shared" si="1"/>
        <v/>
      </c>
      <c r="E724" s="21" t="str">
        <f>IF(A724="","",EXP(-Inputs!$C$8*A724))</f>
        <v/>
      </c>
      <c r="F724" s="22" t="str">
        <f t="shared" si="2"/>
        <v/>
      </c>
    </row>
    <row r="725">
      <c r="A725" s="18" t="str">
        <f>'Cashflow Schedule'!B725</f>
        <v/>
      </c>
      <c r="B725" s="18" t="str">
        <f>'Cashflow Schedule'!E725</f>
        <v/>
      </c>
      <c r="C725" s="22" t="str">
        <f>IF(A725="","",Inputs!$C$6*EXP((Inputs!$C$8-Inputs!$C$7)*A725))</f>
        <v/>
      </c>
      <c r="D725" s="22" t="str">
        <f t="shared" si="1"/>
        <v/>
      </c>
      <c r="E725" s="21" t="str">
        <f>IF(A725="","",EXP(-Inputs!$C$8*A725))</f>
        <v/>
      </c>
      <c r="F725" s="22" t="str">
        <f t="shared" si="2"/>
        <v/>
      </c>
    </row>
    <row r="726">
      <c r="A726" s="18" t="str">
        <f>'Cashflow Schedule'!B726</f>
        <v/>
      </c>
      <c r="B726" s="18" t="str">
        <f>'Cashflow Schedule'!E726</f>
        <v/>
      </c>
      <c r="C726" s="22" t="str">
        <f>IF(A726="","",Inputs!$C$6*EXP((Inputs!$C$8-Inputs!$C$7)*A726))</f>
        <v/>
      </c>
      <c r="D726" s="22" t="str">
        <f t="shared" si="1"/>
        <v/>
      </c>
      <c r="E726" s="21" t="str">
        <f>IF(A726="","",EXP(-Inputs!$C$8*A726))</f>
        <v/>
      </c>
      <c r="F726" s="22" t="str">
        <f t="shared" si="2"/>
        <v/>
      </c>
    </row>
    <row r="727">
      <c r="A727" s="18" t="str">
        <f>'Cashflow Schedule'!B727</f>
        <v/>
      </c>
      <c r="B727" s="18" t="str">
        <f>'Cashflow Schedule'!E727</f>
        <v/>
      </c>
      <c r="C727" s="22" t="str">
        <f>IF(A727="","",Inputs!$C$6*EXP((Inputs!$C$8-Inputs!$C$7)*A727))</f>
        <v/>
      </c>
      <c r="D727" s="22" t="str">
        <f t="shared" si="1"/>
        <v/>
      </c>
      <c r="E727" s="21" t="str">
        <f>IF(A727="","",EXP(-Inputs!$C$8*A727))</f>
        <v/>
      </c>
      <c r="F727" s="22" t="str">
        <f t="shared" si="2"/>
        <v/>
      </c>
    </row>
    <row r="728">
      <c r="A728" s="18" t="str">
        <f>'Cashflow Schedule'!B728</f>
        <v/>
      </c>
      <c r="B728" s="18" t="str">
        <f>'Cashflow Schedule'!E728</f>
        <v/>
      </c>
      <c r="C728" s="22" t="str">
        <f>IF(A728="","",Inputs!$C$6*EXP((Inputs!$C$8-Inputs!$C$7)*A728))</f>
        <v/>
      </c>
      <c r="D728" s="22" t="str">
        <f t="shared" si="1"/>
        <v/>
      </c>
      <c r="E728" s="21" t="str">
        <f>IF(A728="","",EXP(-Inputs!$C$8*A728))</f>
        <v/>
      </c>
      <c r="F728" s="22" t="str">
        <f t="shared" si="2"/>
        <v/>
      </c>
    </row>
    <row r="729">
      <c r="A729" s="18" t="str">
        <f>'Cashflow Schedule'!B729</f>
        <v/>
      </c>
      <c r="B729" s="18" t="str">
        <f>'Cashflow Schedule'!E729</f>
        <v/>
      </c>
      <c r="C729" s="22" t="str">
        <f>IF(A729="","",Inputs!$C$6*EXP((Inputs!$C$8-Inputs!$C$7)*A729))</f>
        <v/>
      </c>
      <c r="D729" s="22" t="str">
        <f t="shared" si="1"/>
        <v/>
      </c>
      <c r="E729" s="21" t="str">
        <f>IF(A729="","",EXP(-Inputs!$C$8*A729))</f>
        <v/>
      </c>
      <c r="F729" s="22" t="str">
        <f t="shared" si="2"/>
        <v/>
      </c>
    </row>
    <row r="730">
      <c r="A730" s="18" t="str">
        <f>'Cashflow Schedule'!B730</f>
        <v/>
      </c>
      <c r="B730" s="18" t="str">
        <f>'Cashflow Schedule'!E730</f>
        <v/>
      </c>
      <c r="C730" s="22" t="str">
        <f>IF(A730="","",Inputs!$C$6*EXP((Inputs!$C$8-Inputs!$C$7)*A730))</f>
        <v/>
      </c>
      <c r="D730" s="22" t="str">
        <f t="shared" si="1"/>
        <v/>
      </c>
      <c r="E730" s="21" t="str">
        <f>IF(A730="","",EXP(-Inputs!$C$8*A730))</f>
        <v/>
      </c>
      <c r="F730" s="22" t="str">
        <f t="shared" si="2"/>
        <v/>
      </c>
    </row>
    <row r="731">
      <c r="A731" s="18" t="str">
        <f>'Cashflow Schedule'!B731</f>
        <v/>
      </c>
      <c r="B731" s="18" t="str">
        <f>'Cashflow Schedule'!E731</f>
        <v/>
      </c>
      <c r="C731" s="22" t="str">
        <f>IF(A731="","",Inputs!$C$6*EXP((Inputs!$C$8-Inputs!$C$7)*A731))</f>
        <v/>
      </c>
      <c r="D731" s="22" t="str">
        <f t="shared" si="1"/>
        <v/>
      </c>
      <c r="E731" s="21" t="str">
        <f>IF(A731="","",EXP(-Inputs!$C$8*A731))</f>
        <v/>
      </c>
      <c r="F731" s="22" t="str">
        <f t="shared" si="2"/>
        <v/>
      </c>
    </row>
    <row r="732">
      <c r="A732" s="18" t="str">
        <f>'Cashflow Schedule'!B732</f>
        <v/>
      </c>
      <c r="B732" s="18" t="str">
        <f>'Cashflow Schedule'!E732</f>
        <v/>
      </c>
      <c r="C732" s="22" t="str">
        <f>IF(A732="","",Inputs!$C$6*EXP((Inputs!$C$8-Inputs!$C$7)*A732))</f>
        <v/>
      </c>
      <c r="D732" s="22" t="str">
        <f t="shared" si="1"/>
        <v/>
      </c>
      <c r="E732" s="21" t="str">
        <f>IF(A732="","",EXP(-Inputs!$C$8*A732))</f>
        <v/>
      </c>
      <c r="F732" s="22" t="str">
        <f t="shared" si="2"/>
        <v/>
      </c>
    </row>
    <row r="733">
      <c r="A733" s="18" t="str">
        <f>'Cashflow Schedule'!B733</f>
        <v/>
      </c>
      <c r="B733" s="18" t="str">
        <f>'Cashflow Schedule'!E733</f>
        <v/>
      </c>
      <c r="C733" s="22" t="str">
        <f>IF(A733="","",Inputs!$C$6*EXP((Inputs!$C$8-Inputs!$C$7)*A733))</f>
        <v/>
      </c>
      <c r="D733" s="22" t="str">
        <f t="shared" si="1"/>
        <v/>
      </c>
      <c r="E733" s="21" t="str">
        <f>IF(A733="","",EXP(-Inputs!$C$8*A733))</f>
        <v/>
      </c>
      <c r="F733" s="22" t="str">
        <f t="shared" si="2"/>
        <v/>
      </c>
    </row>
    <row r="734">
      <c r="A734" s="18" t="str">
        <f>'Cashflow Schedule'!B734</f>
        <v/>
      </c>
      <c r="B734" s="18" t="str">
        <f>'Cashflow Schedule'!E734</f>
        <v/>
      </c>
      <c r="C734" s="22" t="str">
        <f>IF(A734="","",Inputs!$C$6*EXP((Inputs!$C$8-Inputs!$C$7)*A734))</f>
        <v/>
      </c>
      <c r="D734" s="22" t="str">
        <f t="shared" si="1"/>
        <v/>
      </c>
      <c r="E734" s="21" t="str">
        <f>IF(A734="","",EXP(-Inputs!$C$8*A734))</f>
        <v/>
      </c>
      <c r="F734" s="22" t="str">
        <f t="shared" si="2"/>
        <v/>
      </c>
    </row>
    <row r="735">
      <c r="A735" s="18" t="str">
        <f>'Cashflow Schedule'!B735</f>
        <v/>
      </c>
      <c r="B735" s="18" t="str">
        <f>'Cashflow Schedule'!E735</f>
        <v/>
      </c>
      <c r="C735" s="22" t="str">
        <f>IF(A735="","",Inputs!$C$6*EXP((Inputs!$C$8-Inputs!$C$7)*A735))</f>
        <v/>
      </c>
      <c r="D735" s="22" t="str">
        <f t="shared" si="1"/>
        <v/>
      </c>
      <c r="E735" s="21" t="str">
        <f>IF(A735="","",EXP(-Inputs!$C$8*A735))</f>
        <v/>
      </c>
      <c r="F735" s="22" t="str">
        <f t="shared" si="2"/>
        <v/>
      </c>
    </row>
    <row r="736">
      <c r="A736" s="18" t="str">
        <f>'Cashflow Schedule'!B736</f>
        <v/>
      </c>
      <c r="B736" s="18" t="str">
        <f>'Cashflow Schedule'!E736</f>
        <v/>
      </c>
      <c r="C736" s="22" t="str">
        <f>IF(A736="","",Inputs!$C$6*EXP((Inputs!$C$8-Inputs!$C$7)*A736))</f>
        <v/>
      </c>
      <c r="D736" s="22" t="str">
        <f t="shared" si="1"/>
        <v/>
      </c>
      <c r="E736" s="21" t="str">
        <f>IF(A736="","",EXP(-Inputs!$C$8*A736))</f>
        <v/>
      </c>
      <c r="F736" s="22" t="str">
        <f t="shared" si="2"/>
        <v/>
      </c>
    </row>
    <row r="737">
      <c r="A737" s="18" t="str">
        <f>'Cashflow Schedule'!B737</f>
        <v/>
      </c>
      <c r="B737" s="18" t="str">
        <f>'Cashflow Schedule'!E737</f>
        <v/>
      </c>
      <c r="C737" s="22" t="str">
        <f>IF(A737="","",Inputs!$C$6*EXP((Inputs!$C$8-Inputs!$C$7)*A737))</f>
        <v/>
      </c>
      <c r="D737" s="22" t="str">
        <f t="shared" si="1"/>
        <v/>
      </c>
      <c r="E737" s="21" t="str">
        <f>IF(A737="","",EXP(-Inputs!$C$8*A737))</f>
        <v/>
      </c>
      <c r="F737" s="22" t="str">
        <f t="shared" si="2"/>
        <v/>
      </c>
    </row>
    <row r="738">
      <c r="A738" s="18" t="str">
        <f>'Cashflow Schedule'!B738</f>
        <v/>
      </c>
      <c r="B738" s="18" t="str">
        <f>'Cashflow Schedule'!E738</f>
        <v/>
      </c>
      <c r="C738" s="22" t="str">
        <f>IF(A738="","",Inputs!$C$6*EXP((Inputs!$C$8-Inputs!$C$7)*A738))</f>
        <v/>
      </c>
      <c r="D738" s="22" t="str">
        <f t="shared" si="1"/>
        <v/>
      </c>
      <c r="E738" s="21" t="str">
        <f>IF(A738="","",EXP(-Inputs!$C$8*A738))</f>
        <v/>
      </c>
      <c r="F738" s="22" t="str">
        <f t="shared" si="2"/>
        <v/>
      </c>
    </row>
    <row r="739">
      <c r="A739" s="18" t="str">
        <f>'Cashflow Schedule'!B739</f>
        <v/>
      </c>
      <c r="B739" s="18" t="str">
        <f>'Cashflow Schedule'!E739</f>
        <v/>
      </c>
      <c r="C739" s="22" t="str">
        <f>IF(A739="","",Inputs!$C$6*EXP((Inputs!$C$8-Inputs!$C$7)*A739))</f>
        <v/>
      </c>
      <c r="D739" s="22" t="str">
        <f t="shared" si="1"/>
        <v/>
      </c>
      <c r="E739" s="21" t="str">
        <f>IF(A739="","",EXP(-Inputs!$C$8*A739))</f>
        <v/>
      </c>
      <c r="F739" s="22" t="str">
        <f t="shared" si="2"/>
        <v/>
      </c>
    </row>
    <row r="740">
      <c r="A740" s="18" t="str">
        <f>'Cashflow Schedule'!B740</f>
        <v/>
      </c>
      <c r="B740" s="18" t="str">
        <f>'Cashflow Schedule'!E740</f>
        <v/>
      </c>
      <c r="C740" s="22" t="str">
        <f>IF(A740="","",Inputs!$C$6*EXP((Inputs!$C$8-Inputs!$C$7)*A740))</f>
        <v/>
      </c>
      <c r="D740" s="22" t="str">
        <f t="shared" si="1"/>
        <v/>
      </c>
      <c r="E740" s="21" t="str">
        <f>IF(A740="","",EXP(-Inputs!$C$8*A740))</f>
        <v/>
      </c>
      <c r="F740" s="22" t="str">
        <f t="shared" si="2"/>
        <v/>
      </c>
    </row>
    <row r="741">
      <c r="A741" s="18" t="str">
        <f>'Cashflow Schedule'!B741</f>
        <v/>
      </c>
      <c r="B741" s="18" t="str">
        <f>'Cashflow Schedule'!E741</f>
        <v/>
      </c>
      <c r="C741" s="22" t="str">
        <f>IF(A741="","",Inputs!$C$6*EXP((Inputs!$C$8-Inputs!$C$7)*A741))</f>
        <v/>
      </c>
      <c r="D741" s="22" t="str">
        <f t="shared" si="1"/>
        <v/>
      </c>
      <c r="E741" s="21" t="str">
        <f>IF(A741="","",EXP(-Inputs!$C$8*A741))</f>
        <v/>
      </c>
      <c r="F741" s="22" t="str">
        <f t="shared" si="2"/>
        <v/>
      </c>
    </row>
    <row r="742">
      <c r="A742" s="18" t="str">
        <f>'Cashflow Schedule'!B742</f>
        <v/>
      </c>
      <c r="B742" s="18" t="str">
        <f>'Cashflow Schedule'!E742</f>
        <v/>
      </c>
      <c r="C742" s="22" t="str">
        <f>IF(A742="","",Inputs!$C$6*EXP((Inputs!$C$8-Inputs!$C$7)*A742))</f>
        <v/>
      </c>
      <c r="D742" s="22" t="str">
        <f t="shared" si="1"/>
        <v/>
      </c>
      <c r="E742" s="21" t="str">
        <f>IF(A742="","",EXP(-Inputs!$C$8*A742))</f>
        <v/>
      </c>
      <c r="F742" s="22" t="str">
        <f t="shared" si="2"/>
        <v/>
      </c>
    </row>
    <row r="743">
      <c r="A743" s="18" t="str">
        <f>'Cashflow Schedule'!B743</f>
        <v/>
      </c>
      <c r="B743" s="18" t="str">
        <f>'Cashflow Schedule'!E743</f>
        <v/>
      </c>
      <c r="C743" s="22" t="str">
        <f>IF(A743="","",Inputs!$C$6*EXP((Inputs!$C$8-Inputs!$C$7)*A743))</f>
        <v/>
      </c>
      <c r="D743" s="22" t="str">
        <f t="shared" si="1"/>
        <v/>
      </c>
      <c r="E743" s="21" t="str">
        <f>IF(A743="","",EXP(-Inputs!$C$8*A743))</f>
        <v/>
      </c>
      <c r="F743" s="22" t="str">
        <f t="shared" si="2"/>
        <v/>
      </c>
    </row>
    <row r="744">
      <c r="A744" s="18" t="str">
        <f>'Cashflow Schedule'!B744</f>
        <v/>
      </c>
      <c r="B744" s="18" t="str">
        <f>'Cashflow Schedule'!E744</f>
        <v/>
      </c>
      <c r="C744" s="22" t="str">
        <f>IF(A744="","",Inputs!$C$6*EXP((Inputs!$C$8-Inputs!$C$7)*A744))</f>
        <v/>
      </c>
      <c r="D744" s="22" t="str">
        <f t="shared" si="1"/>
        <v/>
      </c>
      <c r="E744" s="21" t="str">
        <f>IF(A744="","",EXP(-Inputs!$C$8*A744))</f>
        <v/>
      </c>
      <c r="F744" s="22" t="str">
        <f t="shared" si="2"/>
        <v/>
      </c>
    </row>
    <row r="745">
      <c r="A745" s="18" t="str">
        <f>'Cashflow Schedule'!B745</f>
        <v/>
      </c>
      <c r="B745" s="18" t="str">
        <f>'Cashflow Schedule'!E745</f>
        <v/>
      </c>
      <c r="C745" s="22" t="str">
        <f>IF(A745="","",Inputs!$C$6*EXP((Inputs!$C$8-Inputs!$C$7)*A745))</f>
        <v/>
      </c>
      <c r="D745" s="22" t="str">
        <f t="shared" si="1"/>
        <v/>
      </c>
      <c r="E745" s="21" t="str">
        <f>IF(A745="","",EXP(-Inputs!$C$8*A745))</f>
        <v/>
      </c>
      <c r="F745" s="22" t="str">
        <f t="shared" si="2"/>
        <v/>
      </c>
    </row>
    <row r="746">
      <c r="A746" s="18" t="str">
        <f>'Cashflow Schedule'!B746</f>
        <v/>
      </c>
      <c r="B746" s="18" t="str">
        <f>'Cashflow Schedule'!E746</f>
        <v/>
      </c>
      <c r="C746" s="22" t="str">
        <f>IF(A746="","",Inputs!$C$6*EXP((Inputs!$C$8-Inputs!$C$7)*A746))</f>
        <v/>
      </c>
      <c r="D746" s="22" t="str">
        <f t="shared" si="1"/>
        <v/>
      </c>
      <c r="E746" s="21" t="str">
        <f>IF(A746="","",EXP(-Inputs!$C$8*A746))</f>
        <v/>
      </c>
      <c r="F746" s="22" t="str">
        <f t="shared" si="2"/>
        <v/>
      </c>
    </row>
    <row r="747">
      <c r="A747" s="18" t="str">
        <f>'Cashflow Schedule'!B747</f>
        <v/>
      </c>
      <c r="B747" s="18" t="str">
        <f>'Cashflow Schedule'!E747</f>
        <v/>
      </c>
      <c r="C747" s="22" t="str">
        <f>IF(A747="","",Inputs!$C$6*EXP((Inputs!$C$8-Inputs!$C$7)*A747))</f>
        <v/>
      </c>
      <c r="D747" s="22" t="str">
        <f t="shared" si="1"/>
        <v/>
      </c>
      <c r="E747" s="21" t="str">
        <f>IF(A747="","",EXP(-Inputs!$C$8*A747))</f>
        <v/>
      </c>
      <c r="F747" s="22" t="str">
        <f t="shared" si="2"/>
        <v/>
      </c>
    </row>
    <row r="748">
      <c r="A748" s="18" t="str">
        <f>'Cashflow Schedule'!B748</f>
        <v/>
      </c>
      <c r="B748" s="18" t="str">
        <f>'Cashflow Schedule'!E748</f>
        <v/>
      </c>
      <c r="C748" s="22" t="str">
        <f>IF(A748="","",Inputs!$C$6*EXP((Inputs!$C$8-Inputs!$C$7)*A748))</f>
        <v/>
      </c>
      <c r="D748" s="22" t="str">
        <f t="shared" si="1"/>
        <v/>
      </c>
      <c r="E748" s="21" t="str">
        <f>IF(A748="","",EXP(-Inputs!$C$8*A748))</f>
        <v/>
      </c>
      <c r="F748" s="22" t="str">
        <f t="shared" si="2"/>
        <v/>
      </c>
    </row>
    <row r="749">
      <c r="A749" s="18" t="str">
        <f>'Cashflow Schedule'!B749</f>
        <v/>
      </c>
      <c r="B749" s="18" t="str">
        <f>'Cashflow Schedule'!E749</f>
        <v/>
      </c>
      <c r="C749" s="22" t="str">
        <f>IF(A749="","",Inputs!$C$6*EXP((Inputs!$C$8-Inputs!$C$7)*A749))</f>
        <v/>
      </c>
      <c r="D749" s="22" t="str">
        <f t="shared" si="1"/>
        <v/>
      </c>
      <c r="E749" s="21" t="str">
        <f>IF(A749="","",EXP(-Inputs!$C$8*A749))</f>
        <v/>
      </c>
      <c r="F749" s="22" t="str">
        <f t="shared" si="2"/>
        <v/>
      </c>
    </row>
    <row r="750">
      <c r="A750" s="18" t="str">
        <f>'Cashflow Schedule'!B750</f>
        <v/>
      </c>
      <c r="B750" s="18" t="str">
        <f>'Cashflow Schedule'!E750</f>
        <v/>
      </c>
      <c r="C750" s="22" t="str">
        <f>IF(A750="","",Inputs!$C$6*EXP((Inputs!$C$8-Inputs!$C$7)*A750))</f>
        <v/>
      </c>
      <c r="D750" s="22" t="str">
        <f t="shared" si="1"/>
        <v/>
      </c>
      <c r="E750" s="21" t="str">
        <f>IF(A750="","",EXP(-Inputs!$C$8*A750))</f>
        <v/>
      </c>
      <c r="F750" s="22" t="str">
        <f t="shared" si="2"/>
        <v/>
      </c>
    </row>
    <row r="751">
      <c r="A751" s="18" t="str">
        <f>'Cashflow Schedule'!B751</f>
        <v/>
      </c>
      <c r="B751" s="18" t="str">
        <f>'Cashflow Schedule'!E751</f>
        <v/>
      </c>
      <c r="C751" s="22" t="str">
        <f>IF(A751="","",Inputs!$C$6*EXP((Inputs!$C$8-Inputs!$C$7)*A751))</f>
        <v/>
      </c>
      <c r="D751" s="22" t="str">
        <f t="shared" si="1"/>
        <v/>
      </c>
      <c r="E751" s="21" t="str">
        <f>IF(A751="","",EXP(-Inputs!$C$8*A751))</f>
        <v/>
      </c>
      <c r="F751" s="22" t="str">
        <f t="shared" si="2"/>
        <v/>
      </c>
    </row>
    <row r="752">
      <c r="A752" s="18" t="str">
        <f>'Cashflow Schedule'!B752</f>
        <v/>
      </c>
      <c r="B752" s="18" t="str">
        <f>'Cashflow Schedule'!E752</f>
        <v/>
      </c>
      <c r="C752" s="22" t="str">
        <f>IF(A752="","",Inputs!$C$6*EXP((Inputs!$C$8-Inputs!$C$7)*A752))</f>
        <v/>
      </c>
      <c r="D752" s="22" t="str">
        <f t="shared" si="1"/>
        <v/>
      </c>
      <c r="E752" s="21" t="str">
        <f>IF(A752="","",EXP(-Inputs!$C$8*A752))</f>
        <v/>
      </c>
      <c r="F752" s="22" t="str">
        <f t="shared" si="2"/>
        <v/>
      </c>
    </row>
    <row r="753">
      <c r="A753" s="18" t="str">
        <f>'Cashflow Schedule'!B753</f>
        <v/>
      </c>
      <c r="B753" s="18" t="str">
        <f>'Cashflow Schedule'!E753</f>
        <v/>
      </c>
      <c r="C753" s="22" t="str">
        <f>IF(A753="","",Inputs!$C$6*EXP((Inputs!$C$8-Inputs!$C$7)*A753))</f>
        <v/>
      </c>
      <c r="D753" s="22" t="str">
        <f t="shared" si="1"/>
        <v/>
      </c>
      <c r="E753" s="21" t="str">
        <f>IF(A753="","",EXP(-Inputs!$C$8*A753))</f>
        <v/>
      </c>
      <c r="F753" s="22" t="str">
        <f t="shared" si="2"/>
        <v/>
      </c>
    </row>
    <row r="754">
      <c r="A754" s="18" t="str">
        <f>'Cashflow Schedule'!B754</f>
        <v/>
      </c>
      <c r="B754" s="18" t="str">
        <f>'Cashflow Schedule'!E754</f>
        <v/>
      </c>
      <c r="C754" s="22" t="str">
        <f>IF(A754="","",Inputs!$C$6*EXP((Inputs!$C$8-Inputs!$C$7)*A754))</f>
        <v/>
      </c>
      <c r="D754" s="22" t="str">
        <f t="shared" si="1"/>
        <v/>
      </c>
      <c r="E754" s="21" t="str">
        <f>IF(A754="","",EXP(-Inputs!$C$8*A754))</f>
        <v/>
      </c>
      <c r="F754" s="22" t="str">
        <f t="shared" si="2"/>
        <v/>
      </c>
    </row>
    <row r="755">
      <c r="A755" s="18" t="str">
        <f>'Cashflow Schedule'!B755</f>
        <v/>
      </c>
      <c r="B755" s="18" t="str">
        <f>'Cashflow Schedule'!E755</f>
        <v/>
      </c>
      <c r="C755" s="22" t="str">
        <f>IF(A755="","",Inputs!$C$6*EXP((Inputs!$C$8-Inputs!$C$7)*A755))</f>
        <v/>
      </c>
      <c r="D755" s="22" t="str">
        <f t="shared" si="1"/>
        <v/>
      </c>
      <c r="E755" s="21" t="str">
        <f>IF(A755="","",EXP(-Inputs!$C$8*A755))</f>
        <v/>
      </c>
      <c r="F755" s="22" t="str">
        <f t="shared" si="2"/>
        <v/>
      </c>
    </row>
    <row r="756">
      <c r="A756" s="18" t="str">
        <f>'Cashflow Schedule'!B756</f>
        <v/>
      </c>
      <c r="B756" s="18" t="str">
        <f>'Cashflow Schedule'!E756</f>
        <v/>
      </c>
      <c r="C756" s="22" t="str">
        <f>IF(A756="","",Inputs!$C$6*EXP((Inputs!$C$8-Inputs!$C$7)*A756))</f>
        <v/>
      </c>
      <c r="D756" s="22" t="str">
        <f t="shared" si="1"/>
        <v/>
      </c>
      <c r="E756" s="21" t="str">
        <f>IF(A756="","",EXP(-Inputs!$C$8*A756))</f>
        <v/>
      </c>
      <c r="F756" s="22" t="str">
        <f t="shared" si="2"/>
        <v/>
      </c>
    </row>
    <row r="757">
      <c r="A757" s="18" t="str">
        <f>'Cashflow Schedule'!B757</f>
        <v/>
      </c>
      <c r="B757" s="18" t="str">
        <f>'Cashflow Schedule'!E757</f>
        <v/>
      </c>
      <c r="C757" s="22" t="str">
        <f>IF(A757="","",Inputs!$C$6*EXP((Inputs!$C$8-Inputs!$C$7)*A757))</f>
        <v/>
      </c>
      <c r="D757" s="22" t="str">
        <f t="shared" si="1"/>
        <v/>
      </c>
      <c r="E757" s="21" t="str">
        <f>IF(A757="","",EXP(-Inputs!$C$8*A757))</f>
        <v/>
      </c>
      <c r="F757" s="22" t="str">
        <f t="shared" si="2"/>
        <v/>
      </c>
    </row>
    <row r="758">
      <c r="A758" s="18" t="str">
        <f>'Cashflow Schedule'!B758</f>
        <v/>
      </c>
      <c r="B758" s="18" t="str">
        <f>'Cashflow Schedule'!E758</f>
        <v/>
      </c>
      <c r="C758" s="22" t="str">
        <f>IF(A758="","",Inputs!$C$6*EXP((Inputs!$C$8-Inputs!$C$7)*A758))</f>
        <v/>
      </c>
      <c r="D758" s="22" t="str">
        <f t="shared" si="1"/>
        <v/>
      </c>
      <c r="E758" s="21" t="str">
        <f>IF(A758="","",EXP(-Inputs!$C$8*A758))</f>
        <v/>
      </c>
      <c r="F758" s="22" t="str">
        <f t="shared" si="2"/>
        <v/>
      </c>
    </row>
    <row r="759">
      <c r="A759" s="18" t="str">
        <f>'Cashflow Schedule'!B759</f>
        <v/>
      </c>
      <c r="B759" s="18" t="str">
        <f>'Cashflow Schedule'!E759</f>
        <v/>
      </c>
      <c r="C759" s="22" t="str">
        <f>IF(A759="","",Inputs!$C$6*EXP((Inputs!$C$8-Inputs!$C$7)*A759))</f>
        <v/>
      </c>
      <c r="D759" s="22" t="str">
        <f t="shared" si="1"/>
        <v/>
      </c>
      <c r="E759" s="21" t="str">
        <f>IF(A759="","",EXP(-Inputs!$C$8*A759))</f>
        <v/>
      </c>
      <c r="F759" s="22" t="str">
        <f t="shared" si="2"/>
        <v/>
      </c>
    </row>
    <row r="760">
      <c r="A760" s="18" t="str">
        <f>'Cashflow Schedule'!B760</f>
        <v/>
      </c>
      <c r="B760" s="18" t="str">
        <f>'Cashflow Schedule'!E760</f>
        <v/>
      </c>
      <c r="C760" s="22" t="str">
        <f>IF(A760="","",Inputs!$C$6*EXP((Inputs!$C$8-Inputs!$C$7)*A760))</f>
        <v/>
      </c>
      <c r="D760" s="22" t="str">
        <f t="shared" si="1"/>
        <v/>
      </c>
      <c r="E760" s="21" t="str">
        <f>IF(A760="","",EXP(-Inputs!$C$8*A760))</f>
        <v/>
      </c>
      <c r="F760" s="22" t="str">
        <f t="shared" si="2"/>
        <v/>
      </c>
    </row>
    <row r="761">
      <c r="A761" s="18" t="str">
        <f>'Cashflow Schedule'!B761</f>
        <v/>
      </c>
      <c r="B761" s="18" t="str">
        <f>'Cashflow Schedule'!E761</f>
        <v/>
      </c>
      <c r="C761" s="22" t="str">
        <f>IF(A761="","",Inputs!$C$6*EXP((Inputs!$C$8-Inputs!$C$7)*A761))</f>
        <v/>
      </c>
      <c r="D761" s="22" t="str">
        <f t="shared" si="1"/>
        <v/>
      </c>
      <c r="E761" s="21" t="str">
        <f>IF(A761="","",EXP(-Inputs!$C$8*A761))</f>
        <v/>
      </c>
      <c r="F761" s="22" t="str">
        <f t="shared" si="2"/>
        <v/>
      </c>
    </row>
    <row r="762">
      <c r="A762" s="18" t="str">
        <f>'Cashflow Schedule'!B762</f>
        <v/>
      </c>
      <c r="B762" s="18" t="str">
        <f>'Cashflow Schedule'!E762</f>
        <v/>
      </c>
      <c r="C762" s="22" t="str">
        <f>IF(A762="","",Inputs!$C$6*EXP((Inputs!$C$8-Inputs!$C$7)*A762))</f>
        <v/>
      </c>
      <c r="D762" s="22" t="str">
        <f t="shared" si="1"/>
        <v/>
      </c>
      <c r="E762" s="21" t="str">
        <f>IF(A762="","",EXP(-Inputs!$C$8*A762))</f>
        <v/>
      </c>
      <c r="F762" s="22" t="str">
        <f t="shared" si="2"/>
        <v/>
      </c>
    </row>
    <row r="763">
      <c r="A763" s="18" t="str">
        <f>'Cashflow Schedule'!B763</f>
        <v/>
      </c>
      <c r="B763" s="18" t="str">
        <f>'Cashflow Schedule'!E763</f>
        <v/>
      </c>
      <c r="C763" s="22" t="str">
        <f>IF(A763="","",Inputs!$C$6*EXP((Inputs!$C$8-Inputs!$C$7)*A763))</f>
        <v/>
      </c>
      <c r="D763" s="22" t="str">
        <f t="shared" si="1"/>
        <v/>
      </c>
      <c r="E763" s="21" t="str">
        <f>IF(A763="","",EXP(-Inputs!$C$8*A763))</f>
        <v/>
      </c>
      <c r="F763" s="22" t="str">
        <f t="shared" si="2"/>
        <v/>
      </c>
    </row>
    <row r="764">
      <c r="A764" s="18" t="str">
        <f>'Cashflow Schedule'!B764</f>
        <v/>
      </c>
      <c r="B764" s="18" t="str">
        <f>'Cashflow Schedule'!E764</f>
        <v/>
      </c>
      <c r="C764" s="22" t="str">
        <f>IF(A764="","",Inputs!$C$6*EXP((Inputs!$C$8-Inputs!$C$7)*A764))</f>
        <v/>
      </c>
      <c r="D764" s="22" t="str">
        <f t="shared" si="1"/>
        <v/>
      </c>
      <c r="E764" s="21" t="str">
        <f>IF(A764="","",EXP(-Inputs!$C$8*A764))</f>
        <v/>
      </c>
      <c r="F764" s="22" t="str">
        <f t="shared" si="2"/>
        <v/>
      </c>
    </row>
    <row r="765">
      <c r="A765" s="18" t="str">
        <f>'Cashflow Schedule'!B765</f>
        <v/>
      </c>
      <c r="B765" s="18" t="str">
        <f>'Cashflow Schedule'!E765</f>
        <v/>
      </c>
      <c r="C765" s="22" t="str">
        <f>IF(A765="","",Inputs!$C$6*EXP((Inputs!$C$8-Inputs!$C$7)*A765))</f>
        <v/>
      </c>
      <c r="D765" s="22" t="str">
        <f t="shared" si="1"/>
        <v/>
      </c>
      <c r="E765" s="21" t="str">
        <f>IF(A765="","",EXP(-Inputs!$C$8*A765))</f>
        <v/>
      </c>
      <c r="F765" s="22" t="str">
        <f t="shared" si="2"/>
        <v/>
      </c>
    </row>
    <row r="766">
      <c r="A766" s="18" t="str">
        <f>'Cashflow Schedule'!B766</f>
        <v/>
      </c>
      <c r="B766" s="18" t="str">
        <f>'Cashflow Schedule'!E766</f>
        <v/>
      </c>
      <c r="C766" s="22" t="str">
        <f>IF(A766="","",Inputs!$C$6*EXP((Inputs!$C$8-Inputs!$C$7)*A766))</f>
        <v/>
      </c>
      <c r="D766" s="22" t="str">
        <f t="shared" si="1"/>
        <v/>
      </c>
      <c r="E766" s="21" t="str">
        <f>IF(A766="","",EXP(-Inputs!$C$8*A766))</f>
        <v/>
      </c>
      <c r="F766" s="22" t="str">
        <f t="shared" si="2"/>
        <v/>
      </c>
    </row>
    <row r="767">
      <c r="A767" s="18" t="str">
        <f>'Cashflow Schedule'!B767</f>
        <v/>
      </c>
      <c r="B767" s="18" t="str">
        <f>'Cashflow Schedule'!E767</f>
        <v/>
      </c>
      <c r="C767" s="22" t="str">
        <f>IF(A767="","",Inputs!$C$6*EXP((Inputs!$C$8-Inputs!$C$7)*A767))</f>
        <v/>
      </c>
      <c r="D767" s="22" t="str">
        <f t="shared" si="1"/>
        <v/>
      </c>
      <c r="E767" s="21" t="str">
        <f>IF(A767="","",EXP(-Inputs!$C$8*A767))</f>
        <v/>
      </c>
      <c r="F767" s="22" t="str">
        <f t="shared" si="2"/>
        <v/>
      </c>
    </row>
    <row r="768">
      <c r="A768" s="18" t="str">
        <f>'Cashflow Schedule'!B768</f>
        <v/>
      </c>
      <c r="B768" s="18" t="str">
        <f>'Cashflow Schedule'!E768</f>
        <v/>
      </c>
      <c r="C768" s="22" t="str">
        <f>IF(A768="","",Inputs!$C$6*EXP((Inputs!$C$8-Inputs!$C$7)*A768))</f>
        <v/>
      </c>
      <c r="D768" s="22" t="str">
        <f t="shared" si="1"/>
        <v/>
      </c>
      <c r="E768" s="21" t="str">
        <f>IF(A768="","",EXP(-Inputs!$C$8*A768))</f>
        <v/>
      </c>
      <c r="F768" s="22" t="str">
        <f t="shared" si="2"/>
        <v/>
      </c>
    </row>
    <row r="769">
      <c r="A769" s="18" t="str">
        <f>'Cashflow Schedule'!B769</f>
        <v/>
      </c>
      <c r="B769" s="18" t="str">
        <f>'Cashflow Schedule'!E769</f>
        <v/>
      </c>
      <c r="C769" s="22" t="str">
        <f>IF(A769="","",Inputs!$C$6*EXP((Inputs!$C$8-Inputs!$C$7)*A769))</f>
        <v/>
      </c>
      <c r="D769" s="22" t="str">
        <f t="shared" si="1"/>
        <v/>
      </c>
      <c r="E769" s="21" t="str">
        <f>IF(A769="","",EXP(-Inputs!$C$8*A769))</f>
        <v/>
      </c>
      <c r="F769" s="22" t="str">
        <f t="shared" si="2"/>
        <v/>
      </c>
    </row>
    <row r="770">
      <c r="A770" s="18" t="str">
        <f>'Cashflow Schedule'!B770</f>
        <v/>
      </c>
      <c r="B770" s="18" t="str">
        <f>'Cashflow Schedule'!E770</f>
        <v/>
      </c>
      <c r="C770" s="22" t="str">
        <f>IF(A770="","",Inputs!$C$6*EXP((Inputs!$C$8-Inputs!$C$7)*A770))</f>
        <v/>
      </c>
      <c r="D770" s="22" t="str">
        <f t="shared" si="1"/>
        <v/>
      </c>
      <c r="E770" s="21" t="str">
        <f>IF(A770="","",EXP(-Inputs!$C$8*A770))</f>
        <v/>
      </c>
      <c r="F770" s="22" t="str">
        <f t="shared" si="2"/>
        <v/>
      </c>
    </row>
    <row r="771">
      <c r="A771" s="18" t="str">
        <f>'Cashflow Schedule'!B771</f>
        <v/>
      </c>
      <c r="B771" s="18" t="str">
        <f>'Cashflow Schedule'!E771</f>
        <v/>
      </c>
      <c r="C771" s="22" t="str">
        <f>IF(A771="","",Inputs!$C$6*EXP((Inputs!$C$8-Inputs!$C$7)*A771))</f>
        <v/>
      </c>
      <c r="D771" s="22" t="str">
        <f t="shared" si="1"/>
        <v/>
      </c>
      <c r="E771" s="21" t="str">
        <f>IF(A771="","",EXP(-Inputs!$C$8*A771))</f>
        <v/>
      </c>
      <c r="F771" s="22" t="str">
        <f t="shared" si="2"/>
        <v/>
      </c>
    </row>
    <row r="772">
      <c r="A772" s="18" t="str">
        <f>'Cashflow Schedule'!B772</f>
        <v/>
      </c>
      <c r="B772" s="18" t="str">
        <f>'Cashflow Schedule'!E772</f>
        <v/>
      </c>
      <c r="C772" s="22" t="str">
        <f>IF(A772="","",Inputs!$C$6*EXP((Inputs!$C$8-Inputs!$C$7)*A772))</f>
        <v/>
      </c>
      <c r="D772" s="22" t="str">
        <f t="shared" si="1"/>
        <v/>
      </c>
      <c r="E772" s="21" t="str">
        <f>IF(A772="","",EXP(-Inputs!$C$8*A772))</f>
        <v/>
      </c>
      <c r="F772" s="22" t="str">
        <f t="shared" si="2"/>
        <v/>
      </c>
    </row>
    <row r="773">
      <c r="A773" s="18" t="str">
        <f>'Cashflow Schedule'!B773</f>
        <v/>
      </c>
      <c r="B773" s="18" t="str">
        <f>'Cashflow Schedule'!E773</f>
        <v/>
      </c>
      <c r="C773" s="22" t="str">
        <f>IF(A773="","",Inputs!$C$6*EXP((Inputs!$C$8-Inputs!$C$7)*A773))</f>
        <v/>
      </c>
      <c r="D773" s="22" t="str">
        <f t="shared" si="1"/>
        <v/>
      </c>
      <c r="E773" s="21" t="str">
        <f>IF(A773="","",EXP(-Inputs!$C$8*A773))</f>
        <v/>
      </c>
      <c r="F773" s="22" t="str">
        <f t="shared" si="2"/>
        <v/>
      </c>
    </row>
    <row r="774">
      <c r="A774" s="18" t="str">
        <f>'Cashflow Schedule'!B774</f>
        <v/>
      </c>
      <c r="B774" s="18" t="str">
        <f>'Cashflow Schedule'!E774</f>
        <v/>
      </c>
      <c r="C774" s="22" t="str">
        <f>IF(A774="","",Inputs!$C$6*EXP((Inputs!$C$8-Inputs!$C$7)*A774))</f>
        <v/>
      </c>
      <c r="D774" s="22" t="str">
        <f t="shared" si="1"/>
        <v/>
      </c>
      <c r="E774" s="21" t="str">
        <f>IF(A774="","",EXP(-Inputs!$C$8*A774))</f>
        <v/>
      </c>
      <c r="F774" s="22" t="str">
        <f t="shared" si="2"/>
        <v/>
      </c>
    </row>
    <row r="775">
      <c r="A775" s="18" t="str">
        <f>'Cashflow Schedule'!B775</f>
        <v/>
      </c>
      <c r="B775" s="18" t="str">
        <f>'Cashflow Schedule'!E775</f>
        <v/>
      </c>
      <c r="C775" s="22" t="str">
        <f>IF(A775="","",Inputs!$C$6*EXP((Inputs!$C$8-Inputs!$C$7)*A775))</f>
        <v/>
      </c>
      <c r="D775" s="22" t="str">
        <f t="shared" si="1"/>
        <v/>
      </c>
      <c r="E775" s="21" t="str">
        <f>IF(A775="","",EXP(-Inputs!$C$8*A775))</f>
        <v/>
      </c>
      <c r="F775" s="22" t="str">
        <f t="shared" si="2"/>
        <v/>
      </c>
    </row>
    <row r="776">
      <c r="A776" s="18" t="str">
        <f>'Cashflow Schedule'!B776</f>
        <v/>
      </c>
      <c r="B776" s="18" t="str">
        <f>'Cashflow Schedule'!E776</f>
        <v/>
      </c>
      <c r="C776" s="22" t="str">
        <f>IF(A776="","",Inputs!$C$6*EXP((Inputs!$C$8-Inputs!$C$7)*A776))</f>
        <v/>
      </c>
      <c r="D776" s="22" t="str">
        <f t="shared" si="1"/>
        <v/>
      </c>
      <c r="E776" s="21" t="str">
        <f>IF(A776="","",EXP(-Inputs!$C$8*A776))</f>
        <v/>
      </c>
      <c r="F776" s="22" t="str">
        <f t="shared" si="2"/>
        <v/>
      </c>
    </row>
    <row r="777">
      <c r="A777" s="18" t="str">
        <f>'Cashflow Schedule'!B777</f>
        <v/>
      </c>
      <c r="B777" s="18" t="str">
        <f>'Cashflow Schedule'!E777</f>
        <v/>
      </c>
      <c r="C777" s="22" t="str">
        <f>IF(A777="","",Inputs!$C$6*EXP((Inputs!$C$8-Inputs!$C$7)*A777))</f>
        <v/>
      </c>
      <c r="D777" s="22" t="str">
        <f t="shared" si="1"/>
        <v/>
      </c>
      <c r="E777" s="21" t="str">
        <f>IF(A777="","",EXP(-Inputs!$C$8*A777))</f>
        <v/>
      </c>
      <c r="F777" s="22" t="str">
        <f t="shared" si="2"/>
        <v/>
      </c>
    </row>
    <row r="778">
      <c r="A778" s="18" t="str">
        <f>'Cashflow Schedule'!B778</f>
        <v/>
      </c>
      <c r="B778" s="18" t="str">
        <f>'Cashflow Schedule'!E778</f>
        <v/>
      </c>
      <c r="C778" s="22" t="str">
        <f>IF(A778="","",Inputs!$C$6*EXP((Inputs!$C$8-Inputs!$C$7)*A778))</f>
        <v/>
      </c>
      <c r="D778" s="22" t="str">
        <f t="shared" si="1"/>
        <v/>
      </c>
      <c r="E778" s="21" t="str">
        <f>IF(A778="","",EXP(-Inputs!$C$8*A778))</f>
        <v/>
      </c>
      <c r="F778" s="22" t="str">
        <f t="shared" si="2"/>
        <v/>
      </c>
    </row>
    <row r="779">
      <c r="A779" s="18" t="str">
        <f>'Cashflow Schedule'!B779</f>
        <v/>
      </c>
      <c r="B779" s="18" t="str">
        <f>'Cashflow Schedule'!E779</f>
        <v/>
      </c>
      <c r="C779" s="22" t="str">
        <f>IF(A779="","",Inputs!$C$6*EXP((Inputs!$C$8-Inputs!$C$7)*A779))</f>
        <v/>
      </c>
      <c r="D779" s="22" t="str">
        <f t="shared" si="1"/>
        <v/>
      </c>
      <c r="E779" s="21" t="str">
        <f>IF(A779="","",EXP(-Inputs!$C$8*A779))</f>
        <v/>
      </c>
      <c r="F779" s="22" t="str">
        <f t="shared" si="2"/>
        <v/>
      </c>
    </row>
    <row r="780">
      <c r="A780" s="18" t="str">
        <f>'Cashflow Schedule'!B780</f>
        <v/>
      </c>
      <c r="B780" s="18" t="str">
        <f>'Cashflow Schedule'!E780</f>
        <v/>
      </c>
      <c r="C780" s="22" t="str">
        <f>IF(A780="","",Inputs!$C$6*EXP((Inputs!$C$8-Inputs!$C$7)*A780))</f>
        <v/>
      </c>
      <c r="D780" s="22" t="str">
        <f t="shared" si="1"/>
        <v/>
      </c>
      <c r="E780" s="21" t="str">
        <f>IF(A780="","",EXP(-Inputs!$C$8*A780))</f>
        <v/>
      </c>
      <c r="F780" s="22" t="str">
        <f t="shared" si="2"/>
        <v/>
      </c>
    </row>
    <row r="781">
      <c r="A781" s="18" t="str">
        <f>'Cashflow Schedule'!B781</f>
        <v/>
      </c>
      <c r="B781" s="18" t="str">
        <f>'Cashflow Schedule'!E781</f>
        <v/>
      </c>
      <c r="C781" s="22" t="str">
        <f>IF(A781="","",Inputs!$C$6*EXP((Inputs!$C$8-Inputs!$C$7)*A781))</f>
        <v/>
      </c>
      <c r="D781" s="22" t="str">
        <f t="shared" si="1"/>
        <v/>
      </c>
      <c r="E781" s="21" t="str">
        <f>IF(A781="","",EXP(-Inputs!$C$8*A781))</f>
        <v/>
      </c>
      <c r="F781" s="22" t="str">
        <f t="shared" si="2"/>
        <v/>
      </c>
    </row>
    <row r="782">
      <c r="A782" s="18" t="str">
        <f>'Cashflow Schedule'!B782</f>
        <v/>
      </c>
      <c r="B782" s="18" t="str">
        <f>'Cashflow Schedule'!E782</f>
        <v/>
      </c>
      <c r="C782" s="22" t="str">
        <f>IF(A782="","",Inputs!$C$6*EXP((Inputs!$C$8-Inputs!$C$7)*A782))</f>
        <v/>
      </c>
      <c r="D782" s="22" t="str">
        <f t="shared" si="1"/>
        <v/>
      </c>
      <c r="E782" s="21" t="str">
        <f>IF(A782="","",EXP(-Inputs!$C$8*A782))</f>
        <v/>
      </c>
      <c r="F782" s="22" t="str">
        <f t="shared" si="2"/>
        <v/>
      </c>
    </row>
    <row r="783">
      <c r="A783" s="18" t="str">
        <f>'Cashflow Schedule'!B783</f>
        <v/>
      </c>
      <c r="B783" s="18" t="str">
        <f>'Cashflow Schedule'!E783</f>
        <v/>
      </c>
      <c r="C783" s="22" t="str">
        <f>IF(A783="","",Inputs!$C$6*EXP((Inputs!$C$8-Inputs!$C$7)*A783))</f>
        <v/>
      </c>
      <c r="D783" s="22" t="str">
        <f t="shared" si="1"/>
        <v/>
      </c>
      <c r="E783" s="21" t="str">
        <f>IF(A783="","",EXP(-Inputs!$C$8*A783))</f>
        <v/>
      </c>
      <c r="F783" s="22" t="str">
        <f t="shared" si="2"/>
        <v/>
      </c>
    </row>
    <row r="784">
      <c r="A784" s="18" t="str">
        <f>'Cashflow Schedule'!B784</f>
        <v/>
      </c>
      <c r="B784" s="18" t="str">
        <f>'Cashflow Schedule'!E784</f>
        <v/>
      </c>
      <c r="C784" s="22" t="str">
        <f>IF(A784="","",Inputs!$C$6*EXP((Inputs!$C$8-Inputs!$C$7)*A784))</f>
        <v/>
      </c>
      <c r="D784" s="22" t="str">
        <f t="shared" si="1"/>
        <v/>
      </c>
      <c r="E784" s="21" t="str">
        <f>IF(A784="","",EXP(-Inputs!$C$8*A784))</f>
        <v/>
      </c>
      <c r="F784" s="22" t="str">
        <f t="shared" si="2"/>
        <v/>
      </c>
    </row>
    <row r="785">
      <c r="A785" s="18" t="str">
        <f>'Cashflow Schedule'!B785</f>
        <v/>
      </c>
      <c r="B785" s="18" t="str">
        <f>'Cashflow Schedule'!E785</f>
        <v/>
      </c>
      <c r="C785" s="22" t="str">
        <f>IF(A785="","",Inputs!$C$6*EXP((Inputs!$C$8-Inputs!$C$7)*A785))</f>
        <v/>
      </c>
      <c r="D785" s="22" t="str">
        <f t="shared" si="1"/>
        <v/>
      </c>
      <c r="E785" s="21" t="str">
        <f>IF(A785="","",EXP(-Inputs!$C$8*A785))</f>
        <v/>
      </c>
      <c r="F785" s="22" t="str">
        <f t="shared" si="2"/>
        <v/>
      </c>
    </row>
    <row r="786">
      <c r="A786" s="18" t="str">
        <f>'Cashflow Schedule'!B786</f>
        <v/>
      </c>
      <c r="B786" s="18" t="str">
        <f>'Cashflow Schedule'!E786</f>
        <v/>
      </c>
      <c r="C786" s="22" t="str">
        <f>IF(A786="","",Inputs!$C$6*EXP((Inputs!$C$8-Inputs!$C$7)*A786))</f>
        <v/>
      </c>
      <c r="D786" s="22" t="str">
        <f t="shared" si="1"/>
        <v/>
      </c>
      <c r="E786" s="21" t="str">
        <f>IF(A786="","",EXP(-Inputs!$C$8*A786))</f>
        <v/>
      </c>
      <c r="F786" s="22" t="str">
        <f t="shared" si="2"/>
        <v/>
      </c>
    </row>
    <row r="787">
      <c r="A787" s="18" t="str">
        <f>'Cashflow Schedule'!B787</f>
        <v/>
      </c>
      <c r="B787" s="18" t="str">
        <f>'Cashflow Schedule'!E787</f>
        <v/>
      </c>
      <c r="C787" s="22" t="str">
        <f>IF(A787="","",Inputs!$C$6*EXP((Inputs!$C$8-Inputs!$C$7)*A787))</f>
        <v/>
      </c>
      <c r="D787" s="22" t="str">
        <f t="shared" si="1"/>
        <v/>
      </c>
      <c r="E787" s="21" t="str">
        <f>IF(A787="","",EXP(-Inputs!$C$8*A787))</f>
        <v/>
      </c>
      <c r="F787" s="22" t="str">
        <f t="shared" si="2"/>
        <v/>
      </c>
    </row>
    <row r="788">
      <c r="A788" s="18" t="str">
        <f>'Cashflow Schedule'!B788</f>
        <v/>
      </c>
      <c r="B788" s="18" t="str">
        <f>'Cashflow Schedule'!E788</f>
        <v/>
      </c>
      <c r="C788" s="22" t="str">
        <f>IF(A788="","",Inputs!$C$6*EXP((Inputs!$C$8-Inputs!$C$7)*A788))</f>
        <v/>
      </c>
      <c r="D788" s="22" t="str">
        <f t="shared" si="1"/>
        <v/>
      </c>
      <c r="E788" s="21" t="str">
        <f>IF(A788="","",EXP(-Inputs!$C$8*A788))</f>
        <v/>
      </c>
      <c r="F788" s="22" t="str">
        <f t="shared" si="2"/>
        <v/>
      </c>
    </row>
    <row r="789">
      <c r="A789" s="18" t="str">
        <f>'Cashflow Schedule'!B789</f>
        <v/>
      </c>
      <c r="B789" s="18" t="str">
        <f>'Cashflow Schedule'!E789</f>
        <v/>
      </c>
      <c r="C789" s="22" t="str">
        <f>IF(A789="","",Inputs!$C$6*EXP((Inputs!$C$8-Inputs!$C$7)*A789))</f>
        <v/>
      </c>
      <c r="D789" s="22" t="str">
        <f t="shared" si="1"/>
        <v/>
      </c>
      <c r="E789" s="21" t="str">
        <f>IF(A789="","",EXP(-Inputs!$C$8*A789))</f>
        <v/>
      </c>
      <c r="F789" s="22" t="str">
        <f t="shared" si="2"/>
        <v/>
      </c>
    </row>
    <row r="790">
      <c r="A790" s="18" t="str">
        <f>'Cashflow Schedule'!B790</f>
        <v/>
      </c>
      <c r="B790" s="18" t="str">
        <f>'Cashflow Schedule'!E790</f>
        <v/>
      </c>
      <c r="C790" s="22" t="str">
        <f>IF(A790="","",Inputs!$C$6*EXP((Inputs!$C$8-Inputs!$C$7)*A790))</f>
        <v/>
      </c>
      <c r="D790" s="22" t="str">
        <f t="shared" si="1"/>
        <v/>
      </c>
      <c r="E790" s="21" t="str">
        <f>IF(A790="","",EXP(-Inputs!$C$8*A790))</f>
        <v/>
      </c>
      <c r="F790" s="22" t="str">
        <f t="shared" si="2"/>
        <v/>
      </c>
    </row>
    <row r="791">
      <c r="A791" s="18" t="str">
        <f>'Cashflow Schedule'!B791</f>
        <v/>
      </c>
      <c r="B791" s="18" t="str">
        <f>'Cashflow Schedule'!E791</f>
        <v/>
      </c>
      <c r="C791" s="22" t="str">
        <f>IF(A791="","",Inputs!$C$6*EXP((Inputs!$C$8-Inputs!$C$7)*A791))</f>
        <v/>
      </c>
      <c r="D791" s="22" t="str">
        <f t="shared" si="1"/>
        <v/>
      </c>
      <c r="E791" s="21" t="str">
        <f>IF(A791="","",EXP(-Inputs!$C$8*A791))</f>
        <v/>
      </c>
      <c r="F791" s="22" t="str">
        <f t="shared" si="2"/>
        <v/>
      </c>
    </row>
    <row r="792">
      <c r="A792" s="18" t="str">
        <f>'Cashflow Schedule'!B792</f>
        <v/>
      </c>
      <c r="B792" s="18" t="str">
        <f>'Cashflow Schedule'!E792</f>
        <v/>
      </c>
      <c r="C792" s="22" t="str">
        <f>IF(A792="","",Inputs!$C$6*EXP((Inputs!$C$8-Inputs!$C$7)*A792))</f>
        <v/>
      </c>
      <c r="D792" s="22" t="str">
        <f t="shared" si="1"/>
        <v/>
      </c>
      <c r="E792" s="21" t="str">
        <f>IF(A792="","",EXP(-Inputs!$C$8*A792))</f>
        <v/>
      </c>
      <c r="F792" s="22" t="str">
        <f t="shared" si="2"/>
        <v/>
      </c>
    </row>
    <row r="793">
      <c r="A793" s="18" t="str">
        <f>'Cashflow Schedule'!B793</f>
        <v/>
      </c>
      <c r="B793" s="18" t="str">
        <f>'Cashflow Schedule'!E793</f>
        <v/>
      </c>
      <c r="C793" s="22" t="str">
        <f>IF(A793="","",Inputs!$C$6*EXP((Inputs!$C$8-Inputs!$C$7)*A793))</f>
        <v/>
      </c>
      <c r="D793" s="22" t="str">
        <f t="shared" si="1"/>
        <v/>
      </c>
      <c r="E793" s="21" t="str">
        <f>IF(A793="","",EXP(-Inputs!$C$8*A793))</f>
        <v/>
      </c>
      <c r="F793" s="22" t="str">
        <f t="shared" si="2"/>
        <v/>
      </c>
    </row>
    <row r="794">
      <c r="A794" s="18" t="str">
        <f>'Cashflow Schedule'!B794</f>
        <v/>
      </c>
      <c r="B794" s="18" t="str">
        <f>'Cashflow Schedule'!E794</f>
        <v/>
      </c>
      <c r="C794" s="22" t="str">
        <f>IF(A794="","",Inputs!$C$6*EXP((Inputs!$C$8-Inputs!$C$7)*A794))</f>
        <v/>
      </c>
      <c r="D794" s="22" t="str">
        <f t="shared" si="1"/>
        <v/>
      </c>
      <c r="E794" s="21" t="str">
        <f>IF(A794="","",EXP(-Inputs!$C$8*A794))</f>
        <v/>
      </c>
      <c r="F794" s="22" t="str">
        <f t="shared" si="2"/>
        <v/>
      </c>
    </row>
    <row r="795">
      <c r="A795" s="18" t="str">
        <f>'Cashflow Schedule'!B795</f>
        <v/>
      </c>
      <c r="B795" s="18" t="str">
        <f>'Cashflow Schedule'!E795</f>
        <v/>
      </c>
      <c r="C795" s="22" t="str">
        <f>IF(A795="","",Inputs!$C$6*EXP((Inputs!$C$8-Inputs!$C$7)*A795))</f>
        <v/>
      </c>
      <c r="D795" s="22" t="str">
        <f t="shared" si="1"/>
        <v/>
      </c>
      <c r="E795" s="21" t="str">
        <f>IF(A795="","",EXP(-Inputs!$C$8*A795))</f>
        <v/>
      </c>
      <c r="F795" s="22" t="str">
        <f t="shared" si="2"/>
        <v/>
      </c>
    </row>
    <row r="796">
      <c r="A796" s="18" t="str">
        <f>'Cashflow Schedule'!B796</f>
        <v/>
      </c>
      <c r="B796" s="18" t="str">
        <f>'Cashflow Schedule'!E796</f>
        <v/>
      </c>
      <c r="C796" s="22" t="str">
        <f>IF(A796="","",Inputs!$C$6*EXP((Inputs!$C$8-Inputs!$C$7)*A796))</f>
        <v/>
      </c>
      <c r="D796" s="22" t="str">
        <f t="shared" si="1"/>
        <v/>
      </c>
      <c r="E796" s="21" t="str">
        <f>IF(A796="","",EXP(-Inputs!$C$8*A796))</f>
        <v/>
      </c>
      <c r="F796" s="22" t="str">
        <f t="shared" si="2"/>
        <v/>
      </c>
    </row>
    <row r="797">
      <c r="A797" s="18" t="str">
        <f>'Cashflow Schedule'!B797</f>
        <v/>
      </c>
      <c r="B797" s="18" t="str">
        <f>'Cashflow Schedule'!E797</f>
        <v/>
      </c>
      <c r="C797" s="22" t="str">
        <f>IF(A797="","",Inputs!$C$6*EXP((Inputs!$C$8-Inputs!$C$7)*A797))</f>
        <v/>
      </c>
      <c r="D797" s="22" t="str">
        <f t="shared" si="1"/>
        <v/>
      </c>
      <c r="E797" s="21" t="str">
        <f>IF(A797="","",EXP(-Inputs!$C$8*A797))</f>
        <v/>
      </c>
      <c r="F797" s="22" t="str">
        <f t="shared" si="2"/>
        <v/>
      </c>
    </row>
    <row r="798">
      <c r="A798" s="18" t="str">
        <f>'Cashflow Schedule'!B798</f>
        <v/>
      </c>
      <c r="B798" s="18" t="str">
        <f>'Cashflow Schedule'!E798</f>
        <v/>
      </c>
      <c r="C798" s="22" t="str">
        <f>IF(A798="","",Inputs!$C$6*EXP((Inputs!$C$8-Inputs!$C$7)*A798))</f>
        <v/>
      </c>
      <c r="D798" s="22" t="str">
        <f t="shared" si="1"/>
        <v/>
      </c>
      <c r="E798" s="21" t="str">
        <f>IF(A798="","",EXP(-Inputs!$C$8*A798))</f>
        <v/>
      </c>
      <c r="F798" s="22" t="str">
        <f t="shared" si="2"/>
        <v/>
      </c>
    </row>
    <row r="799">
      <c r="A799" s="18" t="str">
        <f>'Cashflow Schedule'!B799</f>
        <v/>
      </c>
      <c r="B799" s="18" t="str">
        <f>'Cashflow Schedule'!E799</f>
        <v/>
      </c>
      <c r="C799" s="22" t="str">
        <f>IF(A799="","",Inputs!$C$6*EXP((Inputs!$C$8-Inputs!$C$7)*A799))</f>
        <v/>
      </c>
      <c r="D799" s="22" t="str">
        <f t="shared" si="1"/>
        <v/>
      </c>
      <c r="E799" s="21" t="str">
        <f>IF(A799="","",EXP(-Inputs!$C$8*A799))</f>
        <v/>
      </c>
      <c r="F799" s="22" t="str">
        <f t="shared" si="2"/>
        <v/>
      </c>
    </row>
    <row r="800">
      <c r="A800" s="18" t="str">
        <f>'Cashflow Schedule'!B800</f>
        <v/>
      </c>
      <c r="B800" s="18" t="str">
        <f>'Cashflow Schedule'!E800</f>
        <v/>
      </c>
      <c r="C800" s="22" t="str">
        <f>IF(A800="","",Inputs!$C$6*EXP((Inputs!$C$8-Inputs!$C$7)*A800))</f>
        <v/>
      </c>
      <c r="D800" s="22" t="str">
        <f t="shared" si="1"/>
        <v/>
      </c>
      <c r="E800" s="21" t="str">
        <f>IF(A800="","",EXP(-Inputs!$C$8*A800))</f>
        <v/>
      </c>
      <c r="F800" s="22" t="str">
        <f t="shared" si="2"/>
        <v/>
      </c>
    </row>
    <row r="801">
      <c r="A801" s="18" t="str">
        <f>'Cashflow Schedule'!B801</f>
        <v/>
      </c>
      <c r="B801" s="18" t="str">
        <f>'Cashflow Schedule'!E801</f>
        <v/>
      </c>
      <c r="C801" s="22" t="str">
        <f>IF(A801="","",Inputs!$C$6*EXP((Inputs!$C$8-Inputs!$C$7)*A801))</f>
        <v/>
      </c>
      <c r="D801" s="22" t="str">
        <f t="shared" si="1"/>
        <v/>
      </c>
      <c r="E801" s="21" t="str">
        <f>IF(A801="","",EXP(-Inputs!$C$8*A801))</f>
        <v/>
      </c>
      <c r="F801" s="22" t="str">
        <f t="shared" si="2"/>
        <v/>
      </c>
    </row>
    <row r="802">
      <c r="A802" s="18" t="str">
        <f>'Cashflow Schedule'!B802</f>
        <v/>
      </c>
      <c r="B802" s="18" t="str">
        <f>'Cashflow Schedule'!E802</f>
        <v/>
      </c>
      <c r="C802" s="22" t="str">
        <f>IF(A802="","",Inputs!$C$6*EXP((Inputs!$C$8-Inputs!$C$7)*A802))</f>
        <v/>
      </c>
      <c r="D802" s="22" t="str">
        <f t="shared" si="1"/>
        <v/>
      </c>
      <c r="E802" s="21" t="str">
        <f>IF(A802="","",EXP(-Inputs!$C$8*A802))</f>
        <v/>
      </c>
      <c r="F802" s="22" t="str">
        <f t="shared" si="2"/>
        <v/>
      </c>
    </row>
    <row r="803">
      <c r="A803" s="18" t="str">
        <f>'Cashflow Schedule'!B803</f>
        <v/>
      </c>
      <c r="B803" s="18" t="str">
        <f>'Cashflow Schedule'!E803</f>
        <v/>
      </c>
      <c r="C803" s="22" t="str">
        <f>IF(A803="","",Inputs!$C$6*EXP((Inputs!$C$8-Inputs!$C$7)*A803))</f>
        <v/>
      </c>
      <c r="D803" s="22" t="str">
        <f t="shared" si="1"/>
        <v/>
      </c>
      <c r="E803" s="21" t="str">
        <f>IF(A803="","",EXP(-Inputs!$C$8*A803))</f>
        <v/>
      </c>
      <c r="F803" s="22" t="str">
        <f t="shared" si="2"/>
        <v/>
      </c>
    </row>
    <row r="804">
      <c r="A804" s="18" t="str">
        <f>'Cashflow Schedule'!B804</f>
        <v/>
      </c>
      <c r="B804" s="18" t="str">
        <f>'Cashflow Schedule'!E804</f>
        <v/>
      </c>
      <c r="C804" s="22" t="str">
        <f>IF(A804="","",Inputs!$C$6*EXP((Inputs!$C$8-Inputs!$C$7)*A804))</f>
        <v/>
      </c>
      <c r="D804" s="22" t="str">
        <f t="shared" si="1"/>
        <v/>
      </c>
      <c r="E804" s="21" t="str">
        <f>IF(A804="","",EXP(-Inputs!$C$8*A804))</f>
        <v/>
      </c>
      <c r="F804" s="22" t="str">
        <f t="shared" si="2"/>
        <v/>
      </c>
    </row>
    <row r="805">
      <c r="A805" s="18" t="str">
        <f>'Cashflow Schedule'!B805</f>
        <v/>
      </c>
      <c r="B805" s="18" t="str">
        <f>'Cashflow Schedule'!E805</f>
        <v/>
      </c>
      <c r="C805" s="22" t="str">
        <f>IF(A805="","",Inputs!$C$6*EXP((Inputs!$C$8-Inputs!$C$7)*A805))</f>
        <v/>
      </c>
      <c r="D805" s="22" t="str">
        <f t="shared" si="1"/>
        <v/>
      </c>
      <c r="E805" s="21" t="str">
        <f>IF(A805="","",EXP(-Inputs!$C$8*A805))</f>
        <v/>
      </c>
      <c r="F805" s="22" t="str">
        <f t="shared" si="2"/>
        <v/>
      </c>
    </row>
    <row r="806">
      <c r="A806" s="18" t="str">
        <f>'Cashflow Schedule'!B806</f>
        <v/>
      </c>
      <c r="B806" s="18" t="str">
        <f>'Cashflow Schedule'!E806</f>
        <v/>
      </c>
      <c r="C806" s="22" t="str">
        <f>IF(A806="","",Inputs!$C$6*EXP((Inputs!$C$8-Inputs!$C$7)*A806))</f>
        <v/>
      </c>
      <c r="D806" s="22" t="str">
        <f t="shared" si="1"/>
        <v/>
      </c>
      <c r="E806" s="21" t="str">
        <f>IF(A806="","",EXP(-Inputs!$C$8*A806))</f>
        <v/>
      </c>
      <c r="F806" s="22" t="str">
        <f t="shared" si="2"/>
        <v/>
      </c>
    </row>
    <row r="807">
      <c r="A807" s="18" t="str">
        <f>'Cashflow Schedule'!B807</f>
        <v/>
      </c>
      <c r="B807" s="18" t="str">
        <f>'Cashflow Schedule'!E807</f>
        <v/>
      </c>
      <c r="C807" s="22" t="str">
        <f>IF(A807="","",Inputs!$C$6*EXP((Inputs!$C$8-Inputs!$C$7)*A807))</f>
        <v/>
      </c>
      <c r="D807" s="22" t="str">
        <f t="shared" si="1"/>
        <v/>
      </c>
      <c r="E807" s="21" t="str">
        <f>IF(A807="","",EXP(-Inputs!$C$8*A807))</f>
        <v/>
      </c>
      <c r="F807" s="22" t="str">
        <f t="shared" si="2"/>
        <v/>
      </c>
    </row>
    <row r="808">
      <c r="A808" s="18" t="str">
        <f>'Cashflow Schedule'!B808</f>
        <v/>
      </c>
      <c r="B808" s="18" t="str">
        <f>'Cashflow Schedule'!E808</f>
        <v/>
      </c>
      <c r="C808" s="22" t="str">
        <f>IF(A808="","",Inputs!$C$6*EXP((Inputs!$C$8-Inputs!$C$7)*A808))</f>
        <v/>
      </c>
      <c r="D808" s="22" t="str">
        <f t="shared" si="1"/>
        <v/>
      </c>
      <c r="E808" s="21" t="str">
        <f>IF(A808="","",EXP(-Inputs!$C$8*A808))</f>
        <v/>
      </c>
      <c r="F808" s="22" t="str">
        <f t="shared" si="2"/>
        <v/>
      </c>
    </row>
    <row r="809">
      <c r="A809" s="18" t="str">
        <f>'Cashflow Schedule'!B809</f>
        <v/>
      </c>
      <c r="B809" s="18" t="str">
        <f>'Cashflow Schedule'!E809</f>
        <v/>
      </c>
      <c r="C809" s="22" t="str">
        <f>IF(A809="","",Inputs!$C$6*EXP((Inputs!$C$8-Inputs!$C$7)*A809))</f>
        <v/>
      </c>
      <c r="D809" s="22" t="str">
        <f t="shared" si="1"/>
        <v/>
      </c>
      <c r="E809" s="21" t="str">
        <f>IF(A809="","",EXP(-Inputs!$C$8*A809))</f>
        <v/>
      </c>
      <c r="F809" s="22" t="str">
        <f t="shared" si="2"/>
        <v/>
      </c>
    </row>
    <row r="810">
      <c r="A810" s="18" t="str">
        <f>'Cashflow Schedule'!B810</f>
        <v/>
      </c>
      <c r="B810" s="18" t="str">
        <f>'Cashflow Schedule'!E810</f>
        <v/>
      </c>
      <c r="C810" s="22" t="str">
        <f>IF(A810="","",Inputs!$C$6*EXP((Inputs!$C$8-Inputs!$C$7)*A810))</f>
        <v/>
      </c>
      <c r="D810" s="22" t="str">
        <f t="shared" si="1"/>
        <v/>
      </c>
      <c r="E810" s="21" t="str">
        <f>IF(A810="","",EXP(-Inputs!$C$8*A810))</f>
        <v/>
      </c>
      <c r="F810" s="22" t="str">
        <f t="shared" si="2"/>
        <v/>
      </c>
    </row>
    <row r="811">
      <c r="A811" s="18" t="str">
        <f>'Cashflow Schedule'!B811</f>
        <v/>
      </c>
      <c r="B811" s="18" t="str">
        <f>'Cashflow Schedule'!E811</f>
        <v/>
      </c>
      <c r="C811" s="22" t="str">
        <f>IF(A811="","",Inputs!$C$6*EXP((Inputs!$C$8-Inputs!$C$7)*A811))</f>
        <v/>
      </c>
      <c r="D811" s="22" t="str">
        <f t="shared" si="1"/>
        <v/>
      </c>
      <c r="E811" s="21" t="str">
        <f>IF(A811="","",EXP(-Inputs!$C$8*A811))</f>
        <v/>
      </c>
      <c r="F811" s="22" t="str">
        <f t="shared" si="2"/>
        <v/>
      </c>
    </row>
    <row r="812">
      <c r="A812" s="18" t="str">
        <f>'Cashflow Schedule'!B812</f>
        <v/>
      </c>
      <c r="B812" s="18" t="str">
        <f>'Cashflow Schedule'!E812</f>
        <v/>
      </c>
      <c r="C812" s="22" t="str">
        <f>IF(A812="","",Inputs!$C$6*EXP((Inputs!$C$8-Inputs!$C$7)*A812))</f>
        <v/>
      </c>
      <c r="D812" s="22" t="str">
        <f t="shared" si="1"/>
        <v/>
      </c>
      <c r="E812" s="21" t="str">
        <f>IF(A812="","",EXP(-Inputs!$C$8*A812))</f>
        <v/>
      </c>
      <c r="F812" s="22" t="str">
        <f t="shared" si="2"/>
        <v/>
      </c>
    </row>
    <row r="813">
      <c r="A813" s="18" t="str">
        <f>'Cashflow Schedule'!B813</f>
        <v/>
      </c>
      <c r="B813" s="18" t="str">
        <f>'Cashflow Schedule'!E813</f>
        <v/>
      </c>
      <c r="C813" s="22" t="str">
        <f>IF(A813="","",Inputs!$C$6*EXP((Inputs!$C$8-Inputs!$C$7)*A813))</f>
        <v/>
      </c>
      <c r="D813" s="22" t="str">
        <f t="shared" si="1"/>
        <v/>
      </c>
      <c r="E813" s="21" t="str">
        <f>IF(A813="","",EXP(-Inputs!$C$8*A813))</f>
        <v/>
      </c>
      <c r="F813" s="22" t="str">
        <f t="shared" si="2"/>
        <v/>
      </c>
    </row>
    <row r="814">
      <c r="A814" s="18" t="str">
        <f>'Cashflow Schedule'!B814</f>
        <v/>
      </c>
      <c r="B814" s="18" t="str">
        <f>'Cashflow Schedule'!E814</f>
        <v/>
      </c>
      <c r="C814" s="22" t="str">
        <f>IF(A814="","",Inputs!$C$6*EXP((Inputs!$C$8-Inputs!$C$7)*A814))</f>
        <v/>
      </c>
      <c r="D814" s="22" t="str">
        <f t="shared" si="1"/>
        <v/>
      </c>
      <c r="E814" s="21" t="str">
        <f>IF(A814="","",EXP(-Inputs!$C$8*A814))</f>
        <v/>
      </c>
      <c r="F814" s="22" t="str">
        <f t="shared" si="2"/>
        <v/>
      </c>
    </row>
    <row r="815">
      <c r="A815" s="18" t="str">
        <f>'Cashflow Schedule'!B815</f>
        <v/>
      </c>
      <c r="B815" s="18" t="str">
        <f>'Cashflow Schedule'!E815</f>
        <v/>
      </c>
      <c r="C815" s="22" t="str">
        <f>IF(A815="","",Inputs!$C$6*EXP((Inputs!$C$8-Inputs!$C$7)*A815))</f>
        <v/>
      </c>
      <c r="D815" s="22" t="str">
        <f t="shared" si="1"/>
        <v/>
      </c>
      <c r="E815" s="21" t="str">
        <f>IF(A815="","",EXP(-Inputs!$C$8*A815))</f>
        <v/>
      </c>
      <c r="F815" s="22" t="str">
        <f t="shared" si="2"/>
        <v/>
      </c>
    </row>
    <row r="816">
      <c r="A816" s="18" t="str">
        <f>'Cashflow Schedule'!B816</f>
        <v/>
      </c>
      <c r="B816" s="18" t="str">
        <f>'Cashflow Schedule'!E816</f>
        <v/>
      </c>
      <c r="C816" s="22" t="str">
        <f>IF(A816="","",Inputs!$C$6*EXP((Inputs!$C$8-Inputs!$C$7)*A816))</f>
        <v/>
      </c>
      <c r="D816" s="22" t="str">
        <f t="shared" si="1"/>
        <v/>
      </c>
      <c r="E816" s="21" t="str">
        <f>IF(A816="","",EXP(-Inputs!$C$8*A816))</f>
        <v/>
      </c>
      <c r="F816" s="22" t="str">
        <f t="shared" si="2"/>
        <v/>
      </c>
    </row>
    <row r="817">
      <c r="A817" s="18" t="str">
        <f>'Cashflow Schedule'!B817</f>
        <v/>
      </c>
      <c r="B817" s="18" t="str">
        <f>'Cashflow Schedule'!E817</f>
        <v/>
      </c>
      <c r="C817" s="22" t="str">
        <f>IF(A817="","",Inputs!$C$6*EXP((Inputs!$C$8-Inputs!$C$7)*A817))</f>
        <v/>
      </c>
      <c r="D817" s="22" t="str">
        <f t="shared" si="1"/>
        <v/>
      </c>
      <c r="E817" s="21" t="str">
        <f>IF(A817="","",EXP(-Inputs!$C$8*A817))</f>
        <v/>
      </c>
      <c r="F817" s="22" t="str">
        <f t="shared" si="2"/>
        <v/>
      </c>
    </row>
    <row r="818">
      <c r="A818" s="18" t="str">
        <f>'Cashflow Schedule'!B818</f>
        <v/>
      </c>
      <c r="B818" s="18" t="str">
        <f>'Cashflow Schedule'!E818</f>
        <v/>
      </c>
      <c r="C818" s="22" t="str">
        <f>IF(A818="","",Inputs!$C$6*EXP((Inputs!$C$8-Inputs!$C$7)*A818))</f>
        <v/>
      </c>
      <c r="D818" s="22" t="str">
        <f t="shared" si="1"/>
        <v/>
      </c>
      <c r="E818" s="21" t="str">
        <f>IF(A818="","",EXP(-Inputs!$C$8*A818))</f>
        <v/>
      </c>
      <c r="F818" s="22" t="str">
        <f t="shared" si="2"/>
        <v/>
      </c>
    </row>
    <row r="819">
      <c r="A819" s="18" t="str">
        <f>'Cashflow Schedule'!B819</f>
        <v/>
      </c>
      <c r="B819" s="18" t="str">
        <f>'Cashflow Schedule'!E819</f>
        <v/>
      </c>
      <c r="C819" s="22" t="str">
        <f>IF(A819="","",Inputs!$C$6*EXP((Inputs!$C$8-Inputs!$C$7)*A819))</f>
        <v/>
      </c>
      <c r="D819" s="22" t="str">
        <f t="shared" si="1"/>
        <v/>
      </c>
      <c r="E819" s="21" t="str">
        <f>IF(A819="","",EXP(-Inputs!$C$8*A819))</f>
        <v/>
      </c>
      <c r="F819" s="22" t="str">
        <f t="shared" si="2"/>
        <v/>
      </c>
    </row>
    <row r="820">
      <c r="A820" s="18" t="str">
        <f>'Cashflow Schedule'!B820</f>
        <v/>
      </c>
      <c r="B820" s="18" t="str">
        <f>'Cashflow Schedule'!E820</f>
        <v/>
      </c>
      <c r="C820" s="22" t="str">
        <f>IF(A820="","",Inputs!$C$6*EXP((Inputs!$C$8-Inputs!$C$7)*A820))</f>
        <v/>
      </c>
      <c r="D820" s="22" t="str">
        <f t="shared" si="1"/>
        <v/>
      </c>
      <c r="E820" s="21" t="str">
        <f>IF(A820="","",EXP(-Inputs!$C$8*A820))</f>
        <v/>
      </c>
      <c r="F820" s="22" t="str">
        <f t="shared" si="2"/>
        <v/>
      </c>
    </row>
    <row r="821">
      <c r="A821" s="18" t="str">
        <f>'Cashflow Schedule'!B821</f>
        <v/>
      </c>
      <c r="B821" s="18" t="str">
        <f>'Cashflow Schedule'!E821</f>
        <v/>
      </c>
      <c r="C821" s="22" t="str">
        <f>IF(A821="","",Inputs!$C$6*EXP((Inputs!$C$8-Inputs!$C$7)*A821))</f>
        <v/>
      </c>
      <c r="D821" s="22" t="str">
        <f t="shared" si="1"/>
        <v/>
      </c>
      <c r="E821" s="21" t="str">
        <f>IF(A821="","",EXP(-Inputs!$C$8*A821))</f>
        <v/>
      </c>
      <c r="F821" s="22" t="str">
        <f t="shared" si="2"/>
        <v/>
      </c>
    </row>
    <row r="822">
      <c r="A822" s="18" t="str">
        <f>'Cashflow Schedule'!B822</f>
        <v/>
      </c>
      <c r="B822" s="18" t="str">
        <f>'Cashflow Schedule'!E822</f>
        <v/>
      </c>
      <c r="C822" s="22" t="str">
        <f>IF(A822="","",Inputs!$C$6*EXP((Inputs!$C$8-Inputs!$C$7)*A822))</f>
        <v/>
      </c>
      <c r="D822" s="22" t="str">
        <f t="shared" si="1"/>
        <v/>
      </c>
      <c r="E822" s="21" t="str">
        <f>IF(A822="","",EXP(-Inputs!$C$8*A822))</f>
        <v/>
      </c>
      <c r="F822" s="22" t="str">
        <f t="shared" si="2"/>
        <v/>
      </c>
    </row>
    <row r="823">
      <c r="A823" s="18" t="str">
        <f>'Cashflow Schedule'!B823</f>
        <v/>
      </c>
      <c r="B823" s="18" t="str">
        <f>'Cashflow Schedule'!E823</f>
        <v/>
      </c>
      <c r="C823" s="22" t="str">
        <f>IF(A823="","",Inputs!$C$6*EXP((Inputs!$C$8-Inputs!$C$7)*A823))</f>
        <v/>
      </c>
      <c r="D823" s="22" t="str">
        <f t="shared" si="1"/>
        <v/>
      </c>
      <c r="E823" s="21" t="str">
        <f>IF(A823="","",EXP(-Inputs!$C$8*A823))</f>
        <v/>
      </c>
      <c r="F823" s="22" t="str">
        <f t="shared" si="2"/>
        <v/>
      </c>
    </row>
    <row r="824">
      <c r="A824" s="18" t="str">
        <f>'Cashflow Schedule'!B824</f>
        <v/>
      </c>
      <c r="B824" s="18" t="str">
        <f>'Cashflow Schedule'!E824</f>
        <v/>
      </c>
      <c r="C824" s="22" t="str">
        <f>IF(A824="","",Inputs!$C$6*EXP((Inputs!$C$8-Inputs!$C$7)*A824))</f>
        <v/>
      </c>
      <c r="D824" s="22" t="str">
        <f t="shared" si="1"/>
        <v/>
      </c>
      <c r="E824" s="21" t="str">
        <f>IF(A824="","",EXP(-Inputs!$C$8*A824))</f>
        <v/>
      </c>
      <c r="F824" s="22" t="str">
        <f t="shared" si="2"/>
        <v/>
      </c>
    </row>
    <row r="825">
      <c r="A825" s="18" t="str">
        <f>'Cashflow Schedule'!B825</f>
        <v/>
      </c>
      <c r="B825" s="18" t="str">
        <f>'Cashflow Schedule'!E825</f>
        <v/>
      </c>
      <c r="C825" s="22" t="str">
        <f>IF(A825="","",Inputs!$C$6*EXP((Inputs!$C$8-Inputs!$C$7)*A825))</f>
        <v/>
      </c>
      <c r="D825" s="22" t="str">
        <f t="shared" si="1"/>
        <v/>
      </c>
      <c r="E825" s="21" t="str">
        <f>IF(A825="","",EXP(-Inputs!$C$8*A825))</f>
        <v/>
      </c>
      <c r="F825" s="22" t="str">
        <f t="shared" si="2"/>
        <v/>
      </c>
    </row>
    <row r="826">
      <c r="A826" s="18" t="str">
        <f>'Cashflow Schedule'!B826</f>
        <v/>
      </c>
      <c r="B826" s="18" t="str">
        <f>'Cashflow Schedule'!E826</f>
        <v/>
      </c>
      <c r="C826" s="22" t="str">
        <f>IF(A826="","",Inputs!$C$6*EXP((Inputs!$C$8-Inputs!$C$7)*A826))</f>
        <v/>
      </c>
      <c r="D826" s="22" t="str">
        <f t="shared" si="1"/>
        <v/>
      </c>
      <c r="E826" s="21" t="str">
        <f>IF(A826="","",EXP(-Inputs!$C$8*A826))</f>
        <v/>
      </c>
      <c r="F826" s="22" t="str">
        <f t="shared" si="2"/>
        <v/>
      </c>
    </row>
    <row r="827">
      <c r="A827" s="18" t="str">
        <f>'Cashflow Schedule'!B827</f>
        <v/>
      </c>
      <c r="B827" s="18" t="str">
        <f>'Cashflow Schedule'!E827</f>
        <v/>
      </c>
      <c r="C827" s="22" t="str">
        <f>IF(A827="","",Inputs!$C$6*EXP((Inputs!$C$8-Inputs!$C$7)*A827))</f>
        <v/>
      </c>
      <c r="D827" s="22" t="str">
        <f t="shared" si="1"/>
        <v/>
      </c>
      <c r="E827" s="21" t="str">
        <f>IF(A827="","",EXP(-Inputs!$C$8*A827))</f>
        <v/>
      </c>
      <c r="F827" s="22" t="str">
        <f t="shared" si="2"/>
        <v/>
      </c>
    </row>
    <row r="828">
      <c r="A828" s="18" t="str">
        <f>'Cashflow Schedule'!B828</f>
        <v/>
      </c>
      <c r="B828" s="18" t="str">
        <f>'Cashflow Schedule'!E828</f>
        <v/>
      </c>
      <c r="C828" s="22" t="str">
        <f>IF(A828="","",Inputs!$C$6*EXP((Inputs!$C$8-Inputs!$C$7)*A828))</f>
        <v/>
      </c>
      <c r="D828" s="22" t="str">
        <f t="shared" si="1"/>
        <v/>
      </c>
      <c r="E828" s="21" t="str">
        <f>IF(A828="","",EXP(-Inputs!$C$8*A828))</f>
        <v/>
      </c>
      <c r="F828" s="22" t="str">
        <f t="shared" si="2"/>
        <v/>
      </c>
    </row>
    <row r="829">
      <c r="A829" s="18" t="str">
        <f>'Cashflow Schedule'!B829</f>
        <v/>
      </c>
      <c r="B829" s="18" t="str">
        <f>'Cashflow Schedule'!E829</f>
        <v/>
      </c>
      <c r="C829" s="22" t="str">
        <f>IF(A829="","",Inputs!$C$6*EXP((Inputs!$C$8-Inputs!$C$7)*A829))</f>
        <v/>
      </c>
      <c r="D829" s="22" t="str">
        <f t="shared" si="1"/>
        <v/>
      </c>
      <c r="E829" s="21" t="str">
        <f>IF(A829="","",EXP(-Inputs!$C$8*A829))</f>
        <v/>
      </c>
      <c r="F829" s="22" t="str">
        <f t="shared" si="2"/>
        <v/>
      </c>
    </row>
    <row r="830">
      <c r="A830" s="18" t="str">
        <f>'Cashflow Schedule'!B830</f>
        <v/>
      </c>
      <c r="B830" s="18" t="str">
        <f>'Cashflow Schedule'!E830</f>
        <v/>
      </c>
      <c r="C830" s="22" t="str">
        <f>IF(A830="","",Inputs!$C$6*EXP((Inputs!$C$8-Inputs!$C$7)*A830))</f>
        <v/>
      </c>
      <c r="D830" s="22" t="str">
        <f t="shared" si="1"/>
        <v/>
      </c>
      <c r="E830" s="21" t="str">
        <f>IF(A830="","",EXP(-Inputs!$C$8*A830))</f>
        <v/>
      </c>
      <c r="F830" s="22" t="str">
        <f t="shared" si="2"/>
        <v/>
      </c>
    </row>
    <row r="831">
      <c r="A831" s="18" t="str">
        <f>'Cashflow Schedule'!B831</f>
        <v/>
      </c>
      <c r="B831" s="18" t="str">
        <f>'Cashflow Schedule'!E831</f>
        <v/>
      </c>
      <c r="C831" s="22" t="str">
        <f>IF(A831="","",Inputs!$C$6*EXP((Inputs!$C$8-Inputs!$C$7)*A831))</f>
        <v/>
      </c>
      <c r="D831" s="22" t="str">
        <f t="shared" si="1"/>
        <v/>
      </c>
      <c r="E831" s="21" t="str">
        <f>IF(A831="","",EXP(-Inputs!$C$8*A831))</f>
        <v/>
      </c>
      <c r="F831" s="22" t="str">
        <f t="shared" si="2"/>
        <v/>
      </c>
    </row>
    <row r="832">
      <c r="A832" s="18" t="str">
        <f>'Cashflow Schedule'!B832</f>
        <v/>
      </c>
      <c r="B832" s="18" t="str">
        <f>'Cashflow Schedule'!E832</f>
        <v/>
      </c>
      <c r="C832" s="22" t="str">
        <f>IF(A832="","",Inputs!$C$6*EXP((Inputs!$C$8-Inputs!$C$7)*A832))</f>
        <v/>
      </c>
      <c r="D832" s="22" t="str">
        <f t="shared" si="1"/>
        <v/>
      </c>
      <c r="E832" s="21" t="str">
        <f>IF(A832="","",EXP(-Inputs!$C$8*A832))</f>
        <v/>
      </c>
      <c r="F832" s="22" t="str">
        <f t="shared" si="2"/>
        <v/>
      </c>
    </row>
    <row r="833">
      <c r="A833" s="18" t="str">
        <f>'Cashflow Schedule'!B833</f>
        <v/>
      </c>
      <c r="B833" s="18" t="str">
        <f>'Cashflow Schedule'!E833</f>
        <v/>
      </c>
      <c r="C833" s="22" t="str">
        <f>IF(A833="","",Inputs!$C$6*EXP((Inputs!$C$8-Inputs!$C$7)*A833))</f>
        <v/>
      </c>
      <c r="D833" s="22" t="str">
        <f t="shared" si="1"/>
        <v/>
      </c>
      <c r="E833" s="21" t="str">
        <f>IF(A833="","",EXP(-Inputs!$C$8*A833))</f>
        <v/>
      </c>
      <c r="F833" s="22" t="str">
        <f t="shared" si="2"/>
        <v/>
      </c>
    </row>
    <row r="834">
      <c r="A834" s="18" t="str">
        <f>'Cashflow Schedule'!B834</f>
        <v/>
      </c>
      <c r="B834" s="18" t="str">
        <f>'Cashflow Schedule'!E834</f>
        <v/>
      </c>
      <c r="C834" s="22" t="str">
        <f>IF(A834="","",Inputs!$C$6*EXP((Inputs!$C$8-Inputs!$C$7)*A834))</f>
        <v/>
      </c>
      <c r="D834" s="22" t="str">
        <f t="shared" si="1"/>
        <v/>
      </c>
      <c r="E834" s="21" t="str">
        <f>IF(A834="","",EXP(-Inputs!$C$8*A834))</f>
        <v/>
      </c>
      <c r="F834" s="22" t="str">
        <f t="shared" si="2"/>
        <v/>
      </c>
    </row>
    <row r="835">
      <c r="A835" s="18" t="str">
        <f>'Cashflow Schedule'!B835</f>
        <v/>
      </c>
      <c r="B835" s="18" t="str">
        <f>'Cashflow Schedule'!E835</f>
        <v/>
      </c>
      <c r="C835" s="22" t="str">
        <f>IF(A835="","",Inputs!$C$6*EXP((Inputs!$C$8-Inputs!$C$7)*A835))</f>
        <v/>
      </c>
      <c r="D835" s="22" t="str">
        <f t="shared" si="1"/>
        <v/>
      </c>
      <c r="E835" s="21" t="str">
        <f>IF(A835="","",EXP(-Inputs!$C$8*A835))</f>
        <v/>
      </c>
      <c r="F835" s="22" t="str">
        <f t="shared" si="2"/>
        <v/>
      </c>
    </row>
    <row r="836">
      <c r="A836" s="18" t="str">
        <f>'Cashflow Schedule'!B836</f>
        <v/>
      </c>
      <c r="B836" s="18" t="str">
        <f>'Cashflow Schedule'!E836</f>
        <v/>
      </c>
      <c r="C836" s="22" t="str">
        <f>IF(A836="","",Inputs!$C$6*EXP((Inputs!$C$8-Inputs!$C$7)*A836))</f>
        <v/>
      </c>
      <c r="D836" s="22" t="str">
        <f t="shared" si="1"/>
        <v/>
      </c>
      <c r="E836" s="21" t="str">
        <f>IF(A836="","",EXP(-Inputs!$C$8*A836))</f>
        <v/>
      </c>
      <c r="F836" s="22" t="str">
        <f t="shared" si="2"/>
        <v/>
      </c>
    </row>
    <row r="837">
      <c r="A837" s="18" t="str">
        <f>'Cashflow Schedule'!B837</f>
        <v/>
      </c>
      <c r="B837" s="18" t="str">
        <f>'Cashflow Schedule'!E837</f>
        <v/>
      </c>
      <c r="C837" s="22" t="str">
        <f>IF(A837="","",Inputs!$C$6*EXP((Inputs!$C$8-Inputs!$C$7)*A837))</f>
        <v/>
      </c>
      <c r="D837" s="22" t="str">
        <f t="shared" si="1"/>
        <v/>
      </c>
      <c r="E837" s="21" t="str">
        <f>IF(A837="","",EXP(-Inputs!$C$8*A837))</f>
        <v/>
      </c>
      <c r="F837" s="22" t="str">
        <f t="shared" si="2"/>
        <v/>
      </c>
    </row>
    <row r="838">
      <c r="A838" s="18" t="str">
        <f>'Cashflow Schedule'!B838</f>
        <v/>
      </c>
      <c r="B838" s="18" t="str">
        <f>'Cashflow Schedule'!E838</f>
        <v/>
      </c>
      <c r="C838" s="22" t="str">
        <f>IF(A838="","",Inputs!$C$6*EXP((Inputs!$C$8-Inputs!$C$7)*A838))</f>
        <v/>
      </c>
      <c r="D838" s="22" t="str">
        <f t="shared" si="1"/>
        <v/>
      </c>
      <c r="E838" s="21" t="str">
        <f>IF(A838="","",EXP(-Inputs!$C$8*A838))</f>
        <v/>
      </c>
      <c r="F838" s="22" t="str">
        <f t="shared" si="2"/>
        <v/>
      </c>
    </row>
    <row r="839">
      <c r="A839" s="18" t="str">
        <f>'Cashflow Schedule'!B839</f>
        <v/>
      </c>
      <c r="B839" s="18" t="str">
        <f>'Cashflow Schedule'!E839</f>
        <v/>
      </c>
      <c r="C839" s="22" t="str">
        <f>IF(A839="","",Inputs!$C$6*EXP((Inputs!$C$8-Inputs!$C$7)*A839))</f>
        <v/>
      </c>
      <c r="D839" s="22" t="str">
        <f t="shared" si="1"/>
        <v/>
      </c>
      <c r="E839" s="21" t="str">
        <f>IF(A839="","",EXP(-Inputs!$C$8*A839))</f>
        <v/>
      </c>
      <c r="F839" s="22" t="str">
        <f t="shared" si="2"/>
        <v/>
      </c>
    </row>
    <row r="840">
      <c r="A840" s="18" t="str">
        <f>'Cashflow Schedule'!B840</f>
        <v/>
      </c>
      <c r="B840" s="18" t="str">
        <f>'Cashflow Schedule'!E840</f>
        <v/>
      </c>
      <c r="C840" s="22" t="str">
        <f>IF(A840="","",Inputs!$C$6*EXP((Inputs!$C$8-Inputs!$C$7)*A840))</f>
        <v/>
      </c>
      <c r="D840" s="22" t="str">
        <f t="shared" si="1"/>
        <v/>
      </c>
      <c r="E840" s="21" t="str">
        <f>IF(A840="","",EXP(-Inputs!$C$8*A840))</f>
        <v/>
      </c>
      <c r="F840" s="22" t="str">
        <f t="shared" si="2"/>
        <v/>
      </c>
    </row>
    <row r="841">
      <c r="A841" s="18" t="str">
        <f>'Cashflow Schedule'!B841</f>
        <v/>
      </c>
      <c r="B841" s="18" t="str">
        <f>'Cashflow Schedule'!E841</f>
        <v/>
      </c>
      <c r="C841" s="22" t="str">
        <f>IF(A841="","",Inputs!$C$6*EXP((Inputs!$C$8-Inputs!$C$7)*A841))</f>
        <v/>
      </c>
      <c r="D841" s="22" t="str">
        <f t="shared" si="1"/>
        <v/>
      </c>
      <c r="E841" s="21" t="str">
        <f>IF(A841="","",EXP(-Inputs!$C$8*A841))</f>
        <v/>
      </c>
      <c r="F841" s="22" t="str">
        <f t="shared" si="2"/>
        <v/>
      </c>
    </row>
    <row r="842">
      <c r="A842" s="18" t="str">
        <f>'Cashflow Schedule'!B842</f>
        <v/>
      </c>
      <c r="B842" s="18" t="str">
        <f>'Cashflow Schedule'!E842</f>
        <v/>
      </c>
      <c r="C842" s="22" t="str">
        <f>IF(A842="","",Inputs!$C$6*EXP((Inputs!$C$8-Inputs!$C$7)*A842))</f>
        <v/>
      </c>
      <c r="D842" s="22" t="str">
        <f t="shared" si="1"/>
        <v/>
      </c>
      <c r="E842" s="21" t="str">
        <f>IF(A842="","",EXP(-Inputs!$C$8*A842))</f>
        <v/>
      </c>
      <c r="F842" s="22" t="str">
        <f t="shared" si="2"/>
        <v/>
      </c>
    </row>
    <row r="843">
      <c r="A843" s="18" t="str">
        <f>'Cashflow Schedule'!B843</f>
        <v/>
      </c>
      <c r="B843" s="18" t="str">
        <f>'Cashflow Schedule'!E843</f>
        <v/>
      </c>
      <c r="C843" s="22" t="str">
        <f>IF(A843="","",Inputs!$C$6*EXP((Inputs!$C$8-Inputs!$C$7)*A843))</f>
        <v/>
      </c>
      <c r="D843" s="22" t="str">
        <f t="shared" si="1"/>
        <v/>
      </c>
      <c r="E843" s="21" t="str">
        <f>IF(A843="","",EXP(-Inputs!$C$8*A843))</f>
        <v/>
      </c>
      <c r="F843" s="22" t="str">
        <f t="shared" si="2"/>
        <v/>
      </c>
    </row>
    <row r="844">
      <c r="A844" s="18" t="str">
        <f>'Cashflow Schedule'!B844</f>
        <v/>
      </c>
      <c r="B844" s="18" t="str">
        <f>'Cashflow Schedule'!E844</f>
        <v/>
      </c>
      <c r="C844" s="22" t="str">
        <f>IF(A844="","",Inputs!$C$6*EXP((Inputs!$C$8-Inputs!$C$7)*A844))</f>
        <v/>
      </c>
      <c r="D844" s="22" t="str">
        <f t="shared" si="1"/>
        <v/>
      </c>
      <c r="E844" s="21" t="str">
        <f>IF(A844="","",EXP(-Inputs!$C$8*A844))</f>
        <v/>
      </c>
      <c r="F844" s="22" t="str">
        <f t="shared" si="2"/>
        <v/>
      </c>
    </row>
    <row r="845">
      <c r="A845" s="18" t="str">
        <f>'Cashflow Schedule'!B845</f>
        <v/>
      </c>
      <c r="B845" s="18" t="str">
        <f>'Cashflow Schedule'!E845</f>
        <v/>
      </c>
      <c r="C845" s="22" t="str">
        <f>IF(A845="","",Inputs!$C$6*EXP((Inputs!$C$8-Inputs!$C$7)*A845))</f>
        <v/>
      </c>
      <c r="D845" s="22" t="str">
        <f t="shared" si="1"/>
        <v/>
      </c>
      <c r="E845" s="21" t="str">
        <f>IF(A845="","",EXP(-Inputs!$C$8*A845))</f>
        <v/>
      </c>
      <c r="F845" s="22" t="str">
        <f t="shared" si="2"/>
        <v/>
      </c>
    </row>
    <row r="846">
      <c r="A846" s="18" t="str">
        <f>'Cashflow Schedule'!B846</f>
        <v/>
      </c>
      <c r="B846" s="18" t="str">
        <f>'Cashflow Schedule'!E846</f>
        <v/>
      </c>
      <c r="C846" s="22" t="str">
        <f>IF(A846="","",Inputs!$C$6*EXP((Inputs!$C$8-Inputs!$C$7)*A846))</f>
        <v/>
      </c>
      <c r="D846" s="22" t="str">
        <f t="shared" si="1"/>
        <v/>
      </c>
      <c r="E846" s="21" t="str">
        <f>IF(A846="","",EXP(-Inputs!$C$8*A846))</f>
        <v/>
      </c>
      <c r="F846" s="22" t="str">
        <f t="shared" si="2"/>
        <v/>
      </c>
    </row>
    <row r="847">
      <c r="A847" s="18" t="str">
        <f>'Cashflow Schedule'!B847</f>
        <v/>
      </c>
      <c r="B847" s="18" t="str">
        <f>'Cashflow Schedule'!E847</f>
        <v/>
      </c>
      <c r="C847" s="22" t="str">
        <f>IF(A847="","",Inputs!$C$6*EXP((Inputs!$C$8-Inputs!$C$7)*A847))</f>
        <v/>
      </c>
      <c r="D847" s="22" t="str">
        <f t="shared" si="1"/>
        <v/>
      </c>
      <c r="E847" s="21" t="str">
        <f>IF(A847="","",EXP(-Inputs!$C$8*A847))</f>
        <v/>
      </c>
      <c r="F847" s="22" t="str">
        <f t="shared" si="2"/>
        <v/>
      </c>
    </row>
    <row r="848">
      <c r="A848" s="18" t="str">
        <f>'Cashflow Schedule'!B848</f>
        <v/>
      </c>
      <c r="B848" s="18" t="str">
        <f>'Cashflow Schedule'!E848</f>
        <v/>
      </c>
      <c r="C848" s="22" t="str">
        <f>IF(A848="","",Inputs!$C$6*EXP((Inputs!$C$8-Inputs!$C$7)*A848))</f>
        <v/>
      </c>
      <c r="D848" s="22" t="str">
        <f t="shared" si="1"/>
        <v/>
      </c>
      <c r="E848" s="21" t="str">
        <f>IF(A848="","",EXP(-Inputs!$C$8*A848))</f>
        <v/>
      </c>
      <c r="F848" s="22" t="str">
        <f t="shared" si="2"/>
        <v/>
      </c>
    </row>
    <row r="849">
      <c r="A849" s="18" t="str">
        <f>'Cashflow Schedule'!B849</f>
        <v/>
      </c>
      <c r="B849" s="18" t="str">
        <f>'Cashflow Schedule'!E849</f>
        <v/>
      </c>
      <c r="C849" s="22" t="str">
        <f>IF(A849="","",Inputs!$C$6*EXP((Inputs!$C$8-Inputs!$C$7)*A849))</f>
        <v/>
      </c>
      <c r="D849" s="22" t="str">
        <f t="shared" si="1"/>
        <v/>
      </c>
      <c r="E849" s="21" t="str">
        <f>IF(A849="","",EXP(-Inputs!$C$8*A849))</f>
        <v/>
      </c>
      <c r="F849" s="22" t="str">
        <f t="shared" si="2"/>
        <v/>
      </c>
    </row>
    <row r="850">
      <c r="A850" s="18" t="str">
        <f>'Cashflow Schedule'!B850</f>
        <v/>
      </c>
      <c r="B850" s="18" t="str">
        <f>'Cashflow Schedule'!E850</f>
        <v/>
      </c>
      <c r="C850" s="22" t="str">
        <f>IF(A850="","",Inputs!$C$6*EXP((Inputs!$C$8-Inputs!$C$7)*A850))</f>
        <v/>
      </c>
      <c r="D850" s="22" t="str">
        <f t="shared" si="1"/>
        <v/>
      </c>
      <c r="E850" s="21" t="str">
        <f>IF(A850="","",EXP(-Inputs!$C$8*A850))</f>
        <v/>
      </c>
      <c r="F850" s="22" t="str">
        <f t="shared" si="2"/>
        <v/>
      </c>
    </row>
    <row r="851">
      <c r="A851" s="18" t="str">
        <f>'Cashflow Schedule'!B851</f>
        <v/>
      </c>
      <c r="B851" s="18" t="str">
        <f>'Cashflow Schedule'!E851</f>
        <v/>
      </c>
      <c r="C851" s="22" t="str">
        <f>IF(A851="","",Inputs!$C$6*EXP((Inputs!$C$8-Inputs!$C$7)*A851))</f>
        <v/>
      </c>
      <c r="D851" s="22" t="str">
        <f t="shared" si="1"/>
        <v/>
      </c>
      <c r="E851" s="21" t="str">
        <f>IF(A851="","",EXP(-Inputs!$C$8*A851))</f>
        <v/>
      </c>
      <c r="F851" s="22" t="str">
        <f t="shared" si="2"/>
        <v/>
      </c>
    </row>
    <row r="852">
      <c r="A852" s="18" t="str">
        <f>'Cashflow Schedule'!B852</f>
        <v/>
      </c>
      <c r="B852" s="18" t="str">
        <f>'Cashflow Schedule'!E852</f>
        <v/>
      </c>
      <c r="C852" s="22" t="str">
        <f>IF(A852="","",Inputs!$C$6*EXP((Inputs!$C$8-Inputs!$C$7)*A852))</f>
        <v/>
      </c>
      <c r="D852" s="22" t="str">
        <f t="shared" si="1"/>
        <v/>
      </c>
      <c r="E852" s="21" t="str">
        <f>IF(A852="","",EXP(-Inputs!$C$8*A852))</f>
        <v/>
      </c>
      <c r="F852" s="22" t="str">
        <f t="shared" si="2"/>
        <v/>
      </c>
    </row>
    <row r="853">
      <c r="A853" s="18" t="str">
        <f>'Cashflow Schedule'!B853</f>
        <v/>
      </c>
      <c r="B853" s="18" t="str">
        <f>'Cashflow Schedule'!E853</f>
        <v/>
      </c>
      <c r="C853" s="22" t="str">
        <f>IF(A853="","",Inputs!$C$6*EXP((Inputs!$C$8-Inputs!$C$7)*A853))</f>
        <v/>
      </c>
      <c r="D853" s="22" t="str">
        <f t="shared" si="1"/>
        <v/>
      </c>
      <c r="E853" s="21" t="str">
        <f>IF(A853="","",EXP(-Inputs!$C$8*A853))</f>
        <v/>
      </c>
      <c r="F853" s="22" t="str">
        <f t="shared" si="2"/>
        <v/>
      </c>
    </row>
    <row r="854">
      <c r="A854" s="18" t="str">
        <f>'Cashflow Schedule'!B854</f>
        <v/>
      </c>
      <c r="B854" s="18" t="str">
        <f>'Cashflow Schedule'!E854</f>
        <v/>
      </c>
      <c r="C854" s="22" t="str">
        <f>IF(A854="","",Inputs!$C$6*EXP((Inputs!$C$8-Inputs!$C$7)*A854))</f>
        <v/>
      </c>
      <c r="D854" s="22" t="str">
        <f t="shared" si="1"/>
        <v/>
      </c>
      <c r="E854" s="21" t="str">
        <f>IF(A854="","",EXP(-Inputs!$C$8*A854))</f>
        <v/>
      </c>
      <c r="F854" s="22" t="str">
        <f t="shared" si="2"/>
        <v/>
      </c>
    </row>
    <row r="855">
      <c r="A855" s="18" t="str">
        <f>'Cashflow Schedule'!B855</f>
        <v/>
      </c>
      <c r="B855" s="18" t="str">
        <f>'Cashflow Schedule'!E855</f>
        <v/>
      </c>
      <c r="C855" s="22" t="str">
        <f>IF(A855="","",Inputs!$C$6*EXP((Inputs!$C$8-Inputs!$C$7)*A855))</f>
        <v/>
      </c>
      <c r="D855" s="22" t="str">
        <f t="shared" si="1"/>
        <v/>
      </c>
      <c r="E855" s="21" t="str">
        <f>IF(A855="","",EXP(-Inputs!$C$8*A855))</f>
        <v/>
      </c>
      <c r="F855" s="22" t="str">
        <f t="shared" si="2"/>
        <v/>
      </c>
    </row>
    <row r="856">
      <c r="A856" s="18" t="str">
        <f>'Cashflow Schedule'!B856</f>
        <v/>
      </c>
      <c r="B856" s="18" t="str">
        <f>'Cashflow Schedule'!E856</f>
        <v/>
      </c>
      <c r="C856" s="22" t="str">
        <f>IF(A856="","",Inputs!$C$6*EXP((Inputs!$C$8-Inputs!$C$7)*A856))</f>
        <v/>
      </c>
      <c r="D856" s="22" t="str">
        <f t="shared" si="1"/>
        <v/>
      </c>
      <c r="E856" s="21" t="str">
        <f>IF(A856="","",EXP(-Inputs!$C$8*A856))</f>
        <v/>
      </c>
      <c r="F856" s="22" t="str">
        <f t="shared" si="2"/>
        <v/>
      </c>
    </row>
    <row r="857">
      <c r="A857" s="18" t="str">
        <f>'Cashflow Schedule'!B857</f>
        <v/>
      </c>
      <c r="B857" s="18" t="str">
        <f>'Cashflow Schedule'!E857</f>
        <v/>
      </c>
      <c r="C857" s="22" t="str">
        <f>IF(A857="","",Inputs!$C$6*EXP((Inputs!$C$8-Inputs!$C$7)*A857))</f>
        <v/>
      </c>
      <c r="D857" s="22" t="str">
        <f t="shared" si="1"/>
        <v/>
      </c>
      <c r="E857" s="21" t="str">
        <f>IF(A857="","",EXP(-Inputs!$C$8*A857))</f>
        <v/>
      </c>
      <c r="F857" s="22" t="str">
        <f t="shared" si="2"/>
        <v/>
      </c>
    </row>
    <row r="858">
      <c r="A858" s="18" t="str">
        <f>'Cashflow Schedule'!B858</f>
        <v/>
      </c>
      <c r="B858" s="18" t="str">
        <f>'Cashflow Schedule'!E858</f>
        <v/>
      </c>
      <c r="C858" s="22" t="str">
        <f>IF(A858="","",Inputs!$C$6*EXP((Inputs!$C$8-Inputs!$C$7)*A858))</f>
        <v/>
      </c>
      <c r="D858" s="22" t="str">
        <f t="shared" si="1"/>
        <v/>
      </c>
      <c r="E858" s="21" t="str">
        <f>IF(A858="","",EXP(-Inputs!$C$8*A858))</f>
        <v/>
      </c>
      <c r="F858" s="22" t="str">
        <f t="shared" si="2"/>
        <v/>
      </c>
    </row>
    <row r="859">
      <c r="A859" s="18" t="str">
        <f>'Cashflow Schedule'!B859</f>
        <v/>
      </c>
      <c r="B859" s="18" t="str">
        <f>'Cashflow Schedule'!E859</f>
        <v/>
      </c>
      <c r="C859" s="22" t="str">
        <f>IF(A859="","",Inputs!$C$6*EXP((Inputs!$C$8-Inputs!$C$7)*A859))</f>
        <v/>
      </c>
      <c r="D859" s="22" t="str">
        <f t="shared" si="1"/>
        <v/>
      </c>
      <c r="E859" s="21" t="str">
        <f>IF(A859="","",EXP(-Inputs!$C$8*A859))</f>
        <v/>
      </c>
      <c r="F859" s="22" t="str">
        <f t="shared" si="2"/>
        <v/>
      </c>
    </row>
    <row r="860">
      <c r="A860" s="18" t="str">
        <f>'Cashflow Schedule'!B860</f>
        <v/>
      </c>
      <c r="B860" s="18" t="str">
        <f>'Cashflow Schedule'!E860</f>
        <v/>
      </c>
      <c r="C860" s="22" t="str">
        <f>IF(A860="","",Inputs!$C$6*EXP((Inputs!$C$8-Inputs!$C$7)*A860))</f>
        <v/>
      </c>
      <c r="D860" s="22" t="str">
        <f t="shared" si="1"/>
        <v/>
      </c>
      <c r="E860" s="21" t="str">
        <f>IF(A860="","",EXP(-Inputs!$C$8*A860))</f>
        <v/>
      </c>
      <c r="F860" s="22" t="str">
        <f t="shared" si="2"/>
        <v/>
      </c>
    </row>
    <row r="861">
      <c r="A861" s="18" t="str">
        <f>'Cashflow Schedule'!B861</f>
        <v/>
      </c>
      <c r="B861" s="18" t="str">
        <f>'Cashflow Schedule'!E861</f>
        <v/>
      </c>
      <c r="C861" s="22" t="str">
        <f>IF(A861="","",Inputs!$C$6*EXP((Inputs!$C$8-Inputs!$C$7)*A861))</f>
        <v/>
      </c>
      <c r="D861" s="22" t="str">
        <f t="shared" si="1"/>
        <v/>
      </c>
      <c r="E861" s="21" t="str">
        <f>IF(A861="","",EXP(-Inputs!$C$8*A861))</f>
        <v/>
      </c>
      <c r="F861" s="22" t="str">
        <f t="shared" si="2"/>
        <v/>
      </c>
    </row>
    <row r="862">
      <c r="A862" s="18" t="str">
        <f>'Cashflow Schedule'!B862</f>
        <v/>
      </c>
      <c r="B862" s="18" t="str">
        <f>'Cashflow Schedule'!E862</f>
        <v/>
      </c>
      <c r="C862" s="22" t="str">
        <f>IF(A862="","",Inputs!$C$6*EXP((Inputs!$C$8-Inputs!$C$7)*A862))</f>
        <v/>
      </c>
      <c r="D862" s="22" t="str">
        <f t="shared" si="1"/>
        <v/>
      </c>
      <c r="E862" s="21" t="str">
        <f>IF(A862="","",EXP(-Inputs!$C$8*A862))</f>
        <v/>
      </c>
      <c r="F862" s="22" t="str">
        <f t="shared" si="2"/>
        <v/>
      </c>
    </row>
    <row r="863">
      <c r="A863" s="18" t="str">
        <f>'Cashflow Schedule'!B863</f>
        <v/>
      </c>
      <c r="B863" s="18" t="str">
        <f>'Cashflow Schedule'!E863</f>
        <v/>
      </c>
      <c r="C863" s="22" t="str">
        <f>IF(A863="","",Inputs!$C$6*EXP((Inputs!$C$8-Inputs!$C$7)*A863))</f>
        <v/>
      </c>
      <c r="D863" s="22" t="str">
        <f t="shared" si="1"/>
        <v/>
      </c>
      <c r="E863" s="21" t="str">
        <f>IF(A863="","",EXP(-Inputs!$C$8*A863))</f>
        <v/>
      </c>
      <c r="F863" s="22" t="str">
        <f t="shared" si="2"/>
        <v/>
      </c>
    </row>
    <row r="864">
      <c r="A864" s="18" t="str">
        <f>'Cashflow Schedule'!B864</f>
        <v/>
      </c>
      <c r="B864" s="18" t="str">
        <f>'Cashflow Schedule'!E864</f>
        <v/>
      </c>
      <c r="C864" s="22" t="str">
        <f>IF(A864="","",Inputs!$C$6*EXP((Inputs!$C$8-Inputs!$C$7)*A864))</f>
        <v/>
      </c>
      <c r="D864" s="22" t="str">
        <f t="shared" si="1"/>
        <v/>
      </c>
      <c r="E864" s="21" t="str">
        <f>IF(A864="","",EXP(-Inputs!$C$8*A864))</f>
        <v/>
      </c>
      <c r="F864" s="22" t="str">
        <f t="shared" si="2"/>
        <v/>
      </c>
    </row>
    <row r="865">
      <c r="A865" s="18" t="str">
        <f>'Cashflow Schedule'!B865</f>
        <v/>
      </c>
      <c r="B865" s="18" t="str">
        <f>'Cashflow Schedule'!E865</f>
        <v/>
      </c>
      <c r="C865" s="22" t="str">
        <f>IF(A865="","",Inputs!$C$6*EXP((Inputs!$C$8-Inputs!$C$7)*A865))</f>
        <v/>
      </c>
      <c r="D865" s="22" t="str">
        <f t="shared" si="1"/>
        <v/>
      </c>
      <c r="E865" s="21" t="str">
        <f>IF(A865="","",EXP(-Inputs!$C$8*A865))</f>
        <v/>
      </c>
      <c r="F865" s="22" t="str">
        <f t="shared" si="2"/>
        <v/>
      </c>
    </row>
    <row r="866">
      <c r="A866" s="18" t="str">
        <f>'Cashflow Schedule'!B866</f>
        <v/>
      </c>
      <c r="B866" s="18" t="str">
        <f>'Cashflow Schedule'!E866</f>
        <v/>
      </c>
      <c r="C866" s="22" t="str">
        <f>IF(A866="","",Inputs!$C$6*EXP((Inputs!$C$8-Inputs!$C$7)*A866))</f>
        <v/>
      </c>
      <c r="D866" s="22" t="str">
        <f t="shared" si="1"/>
        <v/>
      </c>
      <c r="E866" s="21" t="str">
        <f>IF(A866="","",EXP(-Inputs!$C$8*A866))</f>
        <v/>
      </c>
      <c r="F866" s="22" t="str">
        <f t="shared" si="2"/>
        <v/>
      </c>
    </row>
    <row r="867">
      <c r="A867" s="18" t="str">
        <f>'Cashflow Schedule'!B867</f>
        <v/>
      </c>
      <c r="B867" s="18" t="str">
        <f>'Cashflow Schedule'!E867</f>
        <v/>
      </c>
      <c r="C867" s="22" t="str">
        <f>IF(A867="","",Inputs!$C$6*EXP((Inputs!$C$8-Inputs!$C$7)*A867))</f>
        <v/>
      </c>
      <c r="D867" s="22" t="str">
        <f t="shared" si="1"/>
        <v/>
      </c>
      <c r="E867" s="21" t="str">
        <f>IF(A867="","",EXP(-Inputs!$C$8*A867))</f>
        <v/>
      </c>
      <c r="F867" s="22" t="str">
        <f t="shared" si="2"/>
        <v/>
      </c>
    </row>
    <row r="868">
      <c r="A868" s="18" t="str">
        <f>'Cashflow Schedule'!B868</f>
        <v/>
      </c>
      <c r="B868" s="18" t="str">
        <f>'Cashflow Schedule'!E868</f>
        <v/>
      </c>
      <c r="C868" s="22" t="str">
        <f>IF(A868="","",Inputs!$C$6*EXP((Inputs!$C$8-Inputs!$C$7)*A868))</f>
        <v/>
      </c>
      <c r="D868" s="22" t="str">
        <f t="shared" si="1"/>
        <v/>
      </c>
      <c r="E868" s="21" t="str">
        <f>IF(A868="","",EXP(-Inputs!$C$8*A868))</f>
        <v/>
      </c>
      <c r="F868" s="22" t="str">
        <f t="shared" si="2"/>
        <v/>
      </c>
    </row>
    <row r="869">
      <c r="A869" s="18" t="str">
        <f>'Cashflow Schedule'!B869</f>
        <v/>
      </c>
      <c r="B869" s="18" t="str">
        <f>'Cashflow Schedule'!E869</f>
        <v/>
      </c>
      <c r="C869" s="22" t="str">
        <f>IF(A869="","",Inputs!$C$6*EXP((Inputs!$C$8-Inputs!$C$7)*A869))</f>
        <v/>
      </c>
      <c r="D869" s="22" t="str">
        <f t="shared" si="1"/>
        <v/>
      </c>
      <c r="E869" s="21" t="str">
        <f>IF(A869="","",EXP(-Inputs!$C$8*A869))</f>
        <v/>
      </c>
      <c r="F869" s="22" t="str">
        <f t="shared" si="2"/>
        <v/>
      </c>
    </row>
    <row r="870">
      <c r="A870" s="18" t="str">
        <f>'Cashflow Schedule'!B870</f>
        <v/>
      </c>
      <c r="B870" s="18" t="str">
        <f>'Cashflow Schedule'!E870</f>
        <v/>
      </c>
      <c r="C870" s="22" t="str">
        <f>IF(A870="","",Inputs!$C$6*EXP((Inputs!$C$8-Inputs!$C$7)*A870))</f>
        <v/>
      </c>
      <c r="D870" s="22" t="str">
        <f t="shared" si="1"/>
        <v/>
      </c>
      <c r="E870" s="21" t="str">
        <f>IF(A870="","",EXP(-Inputs!$C$8*A870))</f>
        <v/>
      </c>
      <c r="F870" s="22" t="str">
        <f t="shared" si="2"/>
        <v/>
      </c>
    </row>
    <row r="871">
      <c r="A871" s="18" t="str">
        <f>'Cashflow Schedule'!B871</f>
        <v/>
      </c>
      <c r="B871" s="18" t="str">
        <f>'Cashflow Schedule'!E871</f>
        <v/>
      </c>
      <c r="C871" s="22" t="str">
        <f>IF(A871="","",Inputs!$C$6*EXP((Inputs!$C$8-Inputs!$C$7)*A871))</f>
        <v/>
      </c>
      <c r="D871" s="22" t="str">
        <f t="shared" si="1"/>
        <v/>
      </c>
      <c r="E871" s="21" t="str">
        <f>IF(A871="","",EXP(-Inputs!$C$8*A871))</f>
        <v/>
      </c>
      <c r="F871" s="22" t="str">
        <f t="shared" si="2"/>
        <v/>
      </c>
    </row>
    <row r="872">
      <c r="A872" s="18" t="str">
        <f>'Cashflow Schedule'!B872</f>
        <v/>
      </c>
      <c r="B872" s="18" t="str">
        <f>'Cashflow Schedule'!E872</f>
        <v/>
      </c>
      <c r="C872" s="22" t="str">
        <f>IF(A872="","",Inputs!$C$6*EXP((Inputs!$C$8-Inputs!$C$7)*A872))</f>
        <v/>
      </c>
      <c r="D872" s="22" t="str">
        <f t="shared" si="1"/>
        <v/>
      </c>
      <c r="E872" s="21" t="str">
        <f>IF(A872="","",EXP(-Inputs!$C$8*A872))</f>
        <v/>
      </c>
      <c r="F872" s="22" t="str">
        <f t="shared" si="2"/>
        <v/>
      </c>
    </row>
    <row r="873">
      <c r="A873" s="18" t="str">
        <f>'Cashflow Schedule'!B873</f>
        <v/>
      </c>
      <c r="B873" s="18" t="str">
        <f>'Cashflow Schedule'!E873</f>
        <v/>
      </c>
      <c r="C873" s="22" t="str">
        <f>IF(A873="","",Inputs!$C$6*EXP((Inputs!$C$8-Inputs!$C$7)*A873))</f>
        <v/>
      </c>
      <c r="D873" s="22" t="str">
        <f t="shared" si="1"/>
        <v/>
      </c>
      <c r="E873" s="21" t="str">
        <f>IF(A873="","",EXP(-Inputs!$C$8*A873))</f>
        <v/>
      </c>
      <c r="F873" s="22" t="str">
        <f t="shared" si="2"/>
        <v/>
      </c>
    </row>
    <row r="874">
      <c r="A874" s="18" t="str">
        <f>'Cashflow Schedule'!B874</f>
        <v/>
      </c>
      <c r="B874" s="18" t="str">
        <f>'Cashflow Schedule'!E874</f>
        <v/>
      </c>
      <c r="C874" s="22" t="str">
        <f>IF(A874="","",Inputs!$C$6*EXP((Inputs!$C$8-Inputs!$C$7)*A874))</f>
        <v/>
      </c>
      <c r="D874" s="22" t="str">
        <f t="shared" si="1"/>
        <v/>
      </c>
      <c r="E874" s="21" t="str">
        <f>IF(A874="","",EXP(-Inputs!$C$8*A874))</f>
        <v/>
      </c>
      <c r="F874" s="22" t="str">
        <f t="shared" si="2"/>
        <v/>
      </c>
    </row>
    <row r="875">
      <c r="A875" s="18" t="str">
        <f>'Cashflow Schedule'!B875</f>
        <v/>
      </c>
      <c r="B875" s="18" t="str">
        <f>'Cashflow Schedule'!E875</f>
        <v/>
      </c>
      <c r="C875" s="22" t="str">
        <f>IF(A875="","",Inputs!$C$6*EXP((Inputs!$C$8-Inputs!$C$7)*A875))</f>
        <v/>
      </c>
      <c r="D875" s="22" t="str">
        <f t="shared" si="1"/>
        <v/>
      </c>
      <c r="E875" s="21" t="str">
        <f>IF(A875="","",EXP(-Inputs!$C$8*A875))</f>
        <v/>
      </c>
      <c r="F875" s="22" t="str">
        <f t="shared" si="2"/>
        <v/>
      </c>
    </row>
    <row r="876">
      <c r="A876" s="18" t="str">
        <f>'Cashflow Schedule'!B876</f>
        <v/>
      </c>
      <c r="B876" s="18" t="str">
        <f>'Cashflow Schedule'!E876</f>
        <v/>
      </c>
      <c r="C876" s="22" t="str">
        <f>IF(A876="","",Inputs!$C$6*EXP((Inputs!$C$8-Inputs!$C$7)*A876))</f>
        <v/>
      </c>
      <c r="D876" s="22" t="str">
        <f t="shared" si="1"/>
        <v/>
      </c>
      <c r="E876" s="21" t="str">
        <f>IF(A876="","",EXP(-Inputs!$C$8*A876))</f>
        <v/>
      </c>
      <c r="F876" s="22" t="str">
        <f t="shared" si="2"/>
        <v/>
      </c>
    </row>
    <row r="877">
      <c r="A877" s="18" t="str">
        <f>'Cashflow Schedule'!B877</f>
        <v/>
      </c>
      <c r="B877" s="18" t="str">
        <f>'Cashflow Schedule'!E877</f>
        <v/>
      </c>
      <c r="C877" s="22" t="str">
        <f>IF(A877="","",Inputs!$C$6*EXP((Inputs!$C$8-Inputs!$C$7)*A877))</f>
        <v/>
      </c>
      <c r="D877" s="22" t="str">
        <f t="shared" si="1"/>
        <v/>
      </c>
      <c r="E877" s="21" t="str">
        <f>IF(A877="","",EXP(-Inputs!$C$8*A877))</f>
        <v/>
      </c>
      <c r="F877" s="22" t="str">
        <f t="shared" si="2"/>
        <v/>
      </c>
    </row>
    <row r="878">
      <c r="A878" s="18" t="str">
        <f>'Cashflow Schedule'!B878</f>
        <v/>
      </c>
      <c r="B878" s="18" t="str">
        <f>'Cashflow Schedule'!E878</f>
        <v/>
      </c>
      <c r="C878" s="22" t="str">
        <f>IF(A878="","",Inputs!$C$6*EXP((Inputs!$C$8-Inputs!$C$7)*A878))</f>
        <v/>
      </c>
      <c r="D878" s="22" t="str">
        <f t="shared" si="1"/>
        <v/>
      </c>
      <c r="E878" s="21" t="str">
        <f>IF(A878="","",EXP(-Inputs!$C$8*A878))</f>
        <v/>
      </c>
      <c r="F878" s="22" t="str">
        <f t="shared" si="2"/>
        <v/>
      </c>
    </row>
    <row r="879">
      <c r="A879" s="18" t="str">
        <f>'Cashflow Schedule'!B879</f>
        <v/>
      </c>
      <c r="B879" s="18" t="str">
        <f>'Cashflow Schedule'!E879</f>
        <v/>
      </c>
      <c r="C879" s="22" t="str">
        <f>IF(A879="","",Inputs!$C$6*EXP((Inputs!$C$8-Inputs!$C$7)*A879))</f>
        <v/>
      </c>
      <c r="D879" s="22" t="str">
        <f t="shared" si="1"/>
        <v/>
      </c>
      <c r="E879" s="21" t="str">
        <f>IF(A879="","",EXP(-Inputs!$C$8*A879))</f>
        <v/>
      </c>
      <c r="F879" s="22" t="str">
        <f t="shared" si="2"/>
        <v/>
      </c>
    </row>
    <row r="880">
      <c r="A880" s="18" t="str">
        <f>'Cashflow Schedule'!B880</f>
        <v/>
      </c>
      <c r="B880" s="18" t="str">
        <f>'Cashflow Schedule'!E880</f>
        <v/>
      </c>
      <c r="C880" s="22" t="str">
        <f>IF(A880="","",Inputs!$C$6*EXP((Inputs!$C$8-Inputs!$C$7)*A880))</f>
        <v/>
      </c>
      <c r="D880" s="22" t="str">
        <f t="shared" si="1"/>
        <v/>
      </c>
      <c r="E880" s="21" t="str">
        <f>IF(A880="","",EXP(-Inputs!$C$8*A880))</f>
        <v/>
      </c>
      <c r="F880" s="22" t="str">
        <f t="shared" si="2"/>
        <v/>
      </c>
    </row>
    <row r="881">
      <c r="A881" s="18" t="str">
        <f>'Cashflow Schedule'!B881</f>
        <v/>
      </c>
      <c r="B881" s="18" t="str">
        <f>'Cashflow Schedule'!E881</f>
        <v/>
      </c>
      <c r="C881" s="22" t="str">
        <f>IF(A881="","",Inputs!$C$6*EXP((Inputs!$C$8-Inputs!$C$7)*A881))</f>
        <v/>
      </c>
      <c r="D881" s="22" t="str">
        <f t="shared" si="1"/>
        <v/>
      </c>
      <c r="E881" s="21" t="str">
        <f>IF(A881="","",EXP(-Inputs!$C$8*A881))</f>
        <v/>
      </c>
      <c r="F881" s="22" t="str">
        <f t="shared" si="2"/>
        <v/>
      </c>
    </row>
    <row r="882">
      <c r="A882" s="18" t="str">
        <f>'Cashflow Schedule'!B882</f>
        <v/>
      </c>
      <c r="B882" s="18" t="str">
        <f>'Cashflow Schedule'!E882</f>
        <v/>
      </c>
      <c r="C882" s="22" t="str">
        <f>IF(A882="","",Inputs!$C$6*EXP((Inputs!$C$8-Inputs!$C$7)*A882))</f>
        <v/>
      </c>
      <c r="D882" s="22" t="str">
        <f t="shared" si="1"/>
        <v/>
      </c>
      <c r="E882" s="21" t="str">
        <f>IF(A882="","",EXP(-Inputs!$C$8*A882))</f>
        <v/>
      </c>
      <c r="F882" s="22" t="str">
        <f t="shared" si="2"/>
        <v/>
      </c>
    </row>
    <row r="883">
      <c r="A883" s="18" t="str">
        <f>'Cashflow Schedule'!B883</f>
        <v/>
      </c>
      <c r="B883" s="18" t="str">
        <f>'Cashflow Schedule'!E883</f>
        <v/>
      </c>
      <c r="C883" s="22" t="str">
        <f>IF(A883="","",Inputs!$C$6*EXP((Inputs!$C$8-Inputs!$C$7)*A883))</f>
        <v/>
      </c>
      <c r="D883" s="22" t="str">
        <f t="shared" si="1"/>
        <v/>
      </c>
      <c r="E883" s="21" t="str">
        <f>IF(A883="","",EXP(-Inputs!$C$8*A883))</f>
        <v/>
      </c>
      <c r="F883" s="22" t="str">
        <f t="shared" si="2"/>
        <v/>
      </c>
    </row>
    <row r="884">
      <c r="A884" s="18" t="str">
        <f>'Cashflow Schedule'!B884</f>
        <v/>
      </c>
      <c r="B884" s="18" t="str">
        <f>'Cashflow Schedule'!E884</f>
        <v/>
      </c>
      <c r="C884" s="22" t="str">
        <f>IF(A884="","",Inputs!$C$6*EXP((Inputs!$C$8-Inputs!$C$7)*A884))</f>
        <v/>
      </c>
      <c r="D884" s="22" t="str">
        <f t="shared" si="1"/>
        <v/>
      </c>
      <c r="E884" s="21" t="str">
        <f>IF(A884="","",EXP(-Inputs!$C$8*A884))</f>
        <v/>
      </c>
      <c r="F884" s="22" t="str">
        <f t="shared" si="2"/>
        <v/>
      </c>
    </row>
    <row r="885">
      <c r="A885" s="18" t="str">
        <f>'Cashflow Schedule'!B885</f>
        <v/>
      </c>
      <c r="B885" s="18" t="str">
        <f>'Cashflow Schedule'!E885</f>
        <v/>
      </c>
      <c r="C885" s="22" t="str">
        <f>IF(A885="","",Inputs!$C$6*EXP((Inputs!$C$8-Inputs!$C$7)*A885))</f>
        <v/>
      </c>
      <c r="D885" s="22" t="str">
        <f t="shared" si="1"/>
        <v/>
      </c>
      <c r="E885" s="21" t="str">
        <f>IF(A885="","",EXP(-Inputs!$C$8*A885))</f>
        <v/>
      </c>
      <c r="F885" s="22" t="str">
        <f t="shared" si="2"/>
        <v/>
      </c>
    </row>
    <row r="886">
      <c r="A886" s="18" t="str">
        <f>'Cashflow Schedule'!B886</f>
        <v/>
      </c>
      <c r="B886" s="18" t="str">
        <f>'Cashflow Schedule'!E886</f>
        <v/>
      </c>
      <c r="C886" s="22" t="str">
        <f>IF(A886="","",Inputs!$C$6*EXP((Inputs!$C$8-Inputs!$C$7)*A886))</f>
        <v/>
      </c>
      <c r="D886" s="22" t="str">
        <f t="shared" si="1"/>
        <v/>
      </c>
      <c r="E886" s="21" t="str">
        <f>IF(A886="","",EXP(-Inputs!$C$8*A886))</f>
        <v/>
      </c>
      <c r="F886" s="22" t="str">
        <f t="shared" si="2"/>
        <v/>
      </c>
    </row>
    <row r="887">
      <c r="A887" s="18" t="str">
        <f>'Cashflow Schedule'!B887</f>
        <v/>
      </c>
      <c r="B887" s="18" t="str">
        <f>'Cashflow Schedule'!E887</f>
        <v/>
      </c>
      <c r="C887" s="22" t="str">
        <f>IF(A887="","",Inputs!$C$6*EXP((Inputs!$C$8-Inputs!$C$7)*A887))</f>
        <v/>
      </c>
      <c r="D887" s="22" t="str">
        <f t="shared" si="1"/>
        <v/>
      </c>
      <c r="E887" s="21" t="str">
        <f>IF(A887="","",EXP(-Inputs!$C$8*A887))</f>
        <v/>
      </c>
      <c r="F887" s="22" t="str">
        <f t="shared" si="2"/>
        <v/>
      </c>
    </row>
    <row r="888">
      <c r="A888" s="18" t="str">
        <f>'Cashflow Schedule'!B888</f>
        <v/>
      </c>
      <c r="B888" s="18" t="str">
        <f>'Cashflow Schedule'!E888</f>
        <v/>
      </c>
      <c r="C888" s="22" t="str">
        <f>IF(A888="","",Inputs!$C$6*EXP((Inputs!$C$8-Inputs!$C$7)*A888))</f>
        <v/>
      </c>
      <c r="D888" s="22" t="str">
        <f t="shared" si="1"/>
        <v/>
      </c>
      <c r="E888" s="21" t="str">
        <f>IF(A888="","",EXP(-Inputs!$C$8*A888))</f>
        <v/>
      </c>
      <c r="F888" s="22" t="str">
        <f t="shared" si="2"/>
        <v/>
      </c>
    </row>
    <row r="889">
      <c r="A889" s="18" t="str">
        <f>'Cashflow Schedule'!B889</f>
        <v/>
      </c>
      <c r="B889" s="18" t="str">
        <f>'Cashflow Schedule'!E889</f>
        <v/>
      </c>
      <c r="C889" s="22" t="str">
        <f>IF(A889="","",Inputs!$C$6*EXP((Inputs!$C$8-Inputs!$C$7)*A889))</f>
        <v/>
      </c>
      <c r="D889" s="22" t="str">
        <f t="shared" si="1"/>
        <v/>
      </c>
      <c r="E889" s="21" t="str">
        <f>IF(A889="","",EXP(-Inputs!$C$8*A889))</f>
        <v/>
      </c>
      <c r="F889" s="22" t="str">
        <f t="shared" si="2"/>
        <v/>
      </c>
    </row>
    <row r="890">
      <c r="A890" s="18" t="str">
        <f>'Cashflow Schedule'!B890</f>
        <v/>
      </c>
      <c r="B890" s="18" t="str">
        <f>'Cashflow Schedule'!E890</f>
        <v/>
      </c>
      <c r="C890" s="22" t="str">
        <f>IF(A890="","",Inputs!$C$6*EXP((Inputs!$C$8-Inputs!$C$7)*A890))</f>
        <v/>
      </c>
      <c r="D890" s="22" t="str">
        <f t="shared" si="1"/>
        <v/>
      </c>
      <c r="E890" s="21" t="str">
        <f>IF(A890="","",EXP(-Inputs!$C$8*A890))</f>
        <v/>
      </c>
      <c r="F890" s="22" t="str">
        <f t="shared" si="2"/>
        <v/>
      </c>
    </row>
    <row r="891">
      <c r="A891" s="18" t="str">
        <f>'Cashflow Schedule'!B891</f>
        <v/>
      </c>
      <c r="B891" s="18" t="str">
        <f>'Cashflow Schedule'!E891</f>
        <v/>
      </c>
      <c r="C891" s="22" t="str">
        <f>IF(A891="","",Inputs!$C$6*EXP((Inputs!$C$8-Inputs!$C$7)*A891))</f>
        <v/>
      </c>
      <c r="D891" s="22" t="str">
        <f t="shared" si="1"/>
        <v/>
      </c>
      <c r="E891" s="21" t="str">
        <f>IF(A891="","",EXP(-Inputs!$C$8*A891))</f>
        <v/>
      </c>
      <c r="F891" s="22" t="str">
        <f t="shared" si="2"/>
        <v/>
      </c>
    </row>
    <row r="892">
      <c r="A892" s="18" t="str">
        <f>'Cashflow Schedule'!B892</f>
        <v/>
      </c>
      <c r="B892" s="18" t="str">
        <f>'Cashflow Schedule'!E892</f>
        <v/>
      </c>
      <c r="C892" s="22" t="str">
        <f>IF(A892="","",Inputs!$C$6*EXP((Inputs!$C$8-Inputs!$C$7)*A892))</f>
        <v/>
      </c>
      <c r="D892" s="22" t="str">
        <f t="shared" si="1"/>
        <v/>
      </c>
      <c r="E892" s="21" t="str">
        <f>IF(A892="","",EXP(-Inputs!$C$8*A892))</f>
        <v/>
      </c>
      <c r="F892" s="22" t="str">
        <f t="shared" si="2"/>
        <v/>
      </c>
    </row>
    <row r="893">
      <c r="A893" s="18" t="str">
        <f>'Cashflow Schedule'!B893</f>
        <v/>
      </c>
      <c r="B893" s="18" t="str">
        <f>'Cashflow Schedule'!E893</f>
        <v/>
      </c>
      <c r="C893" s="22" t="str">
        <f>IF(A893="","",Inputs!$C$6*EXP((Inputs!$C$8-Inputs!$C$7)*A893))</f>
        <v/>
      </c>
      <c r="D893" s="22" t="str">
        <f t="shared" si="1"/>
        <v/>
      </c>
      <c r="E893" s="21" t="str">
        <f>IF(A893="","",EXP(-Inputs!$C$8*A893))</f>
        <v/>
      </c>
      <c r="F893" s="22" t="str">
        <f t="shared" si="2"/>
        <v/>
      </c>
    </row>
    <row r="894">
      <c r="A894" s="18" t="str">
        <f>'Cashflow Schedule'!B894</f>
        <v/>
      </c>
      <c r="B894" s="18" t="str">
        <f>'Cashflow Schedule'!E894</f>
        <v/>
      </c>
      <c r="C894" s="22" t="str">
        <f>IF(A894="","",Inputs!$C$6*EXP((Inputs!$C$8-Inputs!$C$7)*A894))</f>
        <v/>
      </c>
      <c r="D894" s="22" t="str">
        <f t="shared" si="1"/>
        <v/>
      </c>
      <c r="E894" s="21" t="str">
        <f>IF(A894="","",EXP(-Inputs!$C$8*A894))</f>
        <v/>
      </c>
      <c r="F894" s="22" t="str">
        <f t="shared" si="2"/>
        <v/>
      </c>
    </row>
    <row r="895">
      <c r="A895" s="18" t="str">
        <f>'Cashflow Schedule'!B895</f>
        <v/>
      </c>
      <c r="B895" s="18" t="str">
        <f>'Cashflow Schedule'!E895</f>
        <v/>
      </c>
      <c r="C895" s="22" t="str">
        <f>IF(A895="","",Inputs!$C$6*EXP((Inputs!$C$8-Inputs!$C$7)*A895))</f>
        <v/>
      </c>
      <c r="D895" s="22" t="str">
        <f t="shared" si="1"/>
        <v/>
      </c>
      <c r="E895" s="21" t="str">
        <f>IF(A895="","",EXP(-Inputs!$C$8*A895))</f>
        <v/>
      </c>
      <c r="F895" s="22" t="str">
        <f t="shared" si="2"/>
        <v/>
      </c>
    </row>
    <row r="896">
      <c r="A896" s="18" t="str">
        <f>'Cashflow Schedule'!B896</f>
        <v/>
      </c>
      <c r="B896" s="18" t="str">
        <f>'Cashflow Schedule'!E896</f>
        <v/>
      </c>
      <c r="C896" s="22" t="str">
        <f>IF(A896="","",Inputs!$C$6*EXP((Inputs!$C$8-Inputs!$C$7)*A896))</f>
        <v/>
      </c>
      <c r="D896" s="22" t="str">
        <f t="shared" si="1"/>
        <v/>
      </c>
      <c r="E896" s="21" t="str">
        <f>IF(A896="","",EXP(-Inputs!$C$8*A896))</f>
        <v/>
      </c>
      <c r="F896" s="22" t="str">
        <f t="shared" si="2"/>
        <v/>
      </c>
    </row>
    <row r="897">
      <c r="A897" s="18" t="str">
        <f>'Cashflow Schedule'!B897</f>
        <v/>
      </c>
      <c r="B897" s="18" t="str">
        <f>'Cashflow Schedule'!E897</f>
        <v/>
      </c>
      <c r="C897" s="22" t="str">
        <f>IF(A897="","",Inputs!$C$6*EXP((Inputs!$C$8-Inputs!$C$7)*A897))</f>
        <v/>
      </c>
      <c r="D897" s="22" t="str">
        <f t="shared" si="1"/>
        <v/>
      </c>
      <c r="E897" s="21" t="str">
        <f>IF(A897="","",EXP(-Inputs!$C$8*A897))</f>
        <v/>
      </c>
      <c r="F897" s="22" t="str">
        <f t="shared" si="2"/>
        <v/>
      </c>
    </row>
    <row r="898">
      <c r="A898" s="18" t="str">
        <f>'Cashflow Schedule'!B898</f>
        <v/>
      </c>
      <c r="B898" s="18" t="str">
        <f>'Cashflow Schedule'!E898</f>
        <v/>
      </c>
      <c r="C898" s="22" t="str">
        <f>IF(A898="","",Inputs!$C$6*EXP((Inputs!$C$8-Inputs!$C$7)*A898))</f>
        <v/>
      </c>
      <c r="D898" s="22" t="str">
        <f t="shared" si="1"/>
        <v/>
      </c>
      <c r="E898" s="21" t="str">
        <f>IF(A898="","",EXP(-Inputs!$C$8*A898))</f>
        <v/>
      </c>
      <c r="F898" s="22" t="str">
        <f t="shared" si="2"/>
        <v/>
      </c>
    </row>
    <row r="899">
      <c r="A899" s="18" t="str">
        <f>'Cashflow Schedule'!B899</f>
        <v/>
      </c>
      <c r="B899" s="18" t="str">
        <f>'Cashflow Schedule'!E899</f>
        <v/>
      </c>
      <c r="C899" s="22" t="str">
        <f>IF(A899="","",Inputs!$C$6*EXP((Inputs!$C$8-Inputs!$C$7)*A899))</f>
        <v/>
      </c>
      <c r="D899" s="22" t="str">
        <f t="shared" si="1"/>
        <v/>
      </c>
      <c r="E899" s="21" t="str">
        <f>IF(A899="","",EXP(-Inputs!$C$8*A899))</f>
        <v/>
      </c>
      <c r="F899" s="22" t="str">
        <f t="shared" si="2"/>
        <v/>
      </c>
    </row>
    <row r="900">
      <c r="A900" s="18" t="str">
        <f>'Cashflow Schedule'!B900</f>
        <v/>
      </c>
      <c r="B900" s="18" t="str">
        <f>'Cashflow Schedule'!E900</f>
        <v/>
      </c>
      <c r="C900" s="22" t="str">
        <f>IF(A900="","",Inputs!$C$6*EXP((Inputs!$C$8-Inputs!$C$7)*A900))</f>
        <v/>
      </c>
      <c r="D900" s="22" t="str">
        <f t="shared" si="1"/>
        <v/>
      </c>
      <c r="E900" s="21" t="str">
        <f>IF(A900="","",EXP(-Inputs!$C$8*A900))</f>
        <v/>
      </c>
      <c r="F900" s="22" t="str">
        <f t="shared" si="2"/>
        <v/>
      </c>
    </row>
    <row r="901">
      <c r="A901" s="18" t="str">
        <f>'Cashflow Schedule'!B901</f>
        <v/>
      </c>
      <c r="B901" s="18" t="str">
        <f>'Cashflow Schedule'!E901</f>
        <v/>
      </c>
      <c r="C901" s="22" t="str">
        <f>IF(A901="","",Inputs!$C$6*EXP((Inputs!$C$8-Inputs!$C$7)*A901))</f>
        <v/>
      </c>
      <c r="D901" s="22" t="str">
        <f t="shared" si="1"/>
        <v/>
      </c>
      <c r="E901" s="21" t="str">
        <f>IF(A901="","",EXP(-Inputs!$C$8*A901))</f>
        <v/>
      </c>
      <c r="F901" s="22" t="str">
        <f t="shared" si="2"/>
        <v/>
      </c>
    </row>
    <row r="902">
      <c r="A902" s="18" t="str">
        <f>'Cashflow Schedule'!B902</f>
        <v/>
      </c>
      <c r="B902" s="18" t="str">
        <f>'Cashflow Schedule'!E902</f>
        <v/>
      </c>
      <c r="C902" s="22" t="str">
        <f>IF(A902="","",Inputs!$C$6*EXP((Inputs!$C$8-Inputs!$C$7)*A902))</f>
        <v/>
      </c>
      <c r="D902" s="22" t="str">
        <f t="shared" si="1"/>
        <v/>
      </c>
      <c r="E902" s="21" t="str">
        <f>IF(A902="","",EXP(-Inputs!$C$8*A902))</f>
        <v/>
      </c>
      <c r="F902" s="22" t="str">
        <f t="shared" si="2"/>
        <v/>
      </c>
    </row>
    <row r="903">
      <c r="A903" s="18" t="str">
        <f>'Cashflow Schedule'!B903</f>
        <v/>
      </c>
      <c r="B903" s="18" t="str">
        <f>'Cashflow Schedule'!E903</f>
        <v/>
      </c>
      <c r="C903" s="22" t="str">
        <f>IF(A903="","",Inputs!$C$6*EXP((Inputs!$C$8-Inputs!$C$7)*A903))</f>
        <v/>
      </c>
      <c r="D903" s="22" t="str">
        <f t="shared" si="1"/>
        <v/>
      </c>
      <c r="E903" s="21" t="str">
        <f>IF(A903="","",EXP(-Inputs!$C$8*A903))</f>
        <v/>
      </c>
      <c r="F903" s="22" t="str">
        <f t="shared" si="2"/>
        <v/>
      </c>
    </row>
    <row r="904">
      <c r="A904" s="18" t="str">
        <f>'Cashflow Schedule'!B904</f>
        <v/>
      </c>
      <c r="B904" s="18" t="str">
        <f>'Cashflow Schedule'!E904</f>
        <v/>
      </c>
      <c r="C904" s="22" t="str">
        <f>IF(A904="","",Inputs!$C$6*EXP((Inputs!$C$8-Inputs!$C$7)*A904))</f>
        <v/>
      </c>
      <c r="D904" s="22" t="str">
        <f t="shared" si="1"/>
        <v/>
      </c>
      <c r="E904" s="21" t="str">
        <f>IF(A904="","",EXP(-Inputs!$C$8*A904))</f>
        <v/>
      </c>
      <c r="F904" s="22" t="str">
        <f t="shared" si="2"/>
        <v/>
      </c>
    </row>
    <row r="905">
      <c r="A905" s="18" t="str">
        <f>'Cashflow Schedule'!B905</f>
        <v/>
      </c>
      <c r="B905" s="18" t="str">
        <f>'Cashflow Schedule'!E905</f>
        <v/>
      </c>
      <c r="C905" s="22" t="str">
        <f>IF(A905="","",Inputs!$C$6*EXP((Inputs!$C$8-Inputs!$C$7)*A905))</f>
        <v/>
      </c>
      <c r="D905" s="22" t="str">
        <f t="shared" si="1"/>
        <v/>
      </c>
      <c r="E905" s="21" t="str">
        <f>IF(A905="","",EXP(-Inputs!$C$8*A905))</f>
        <v/>
      </c>
      <c r="F905" s="22" t="str">
        <f t="shared" si="2"/>
        <v/>
      </c>
    </row>
    <row r="906">
      <c r="A906" s="18" t="str">
        <f>'Cashflow Schedule'!B906</f>
        <v/>
      </c>
      <c r="B906" s="18" t="str">
        <f>'Cashflow Schedule'!E906</f>
        <v/>
      </c>
      <c r="C906" s="22" t="str">
        <f>IF(A906="","",Inputs!$C$6*EXP((Inputs!$C$8-Inputs!$C$7)*A906))</f>
        <v/>
      </c>
      <c r="D906" s="22" t="str">
        <f t="shared" si="1"/>
        <v/>
      </c>
      <c r="E906" s="21" t="str">
        <f>IF(A906="","",EXP(-Inputs!$C$8*A906))</f>
        <v/>
      </c>
      <c r="F906" s="22" t="str">
        <f t="shared" si="2"/>
        <v/>
      </c>
    </row>
    <row r="907">
      <c r="A907" s="18" t="str">
        <f>'Cashflow Schedule'!B907</f>
        <v/>
      </c>
      <c r="B907" s="18" t="str">
        <f>'Cashflow Schedule'!E907</f>
        <v/>
      </c>
      <c r="C907" s="22" t="str">
        <f>IF(A907="","",Inputs!$C$6*EXP((Inputs!$C$8-Inputs!$C$7)*A907))</f>
        <v/>
      </c>
      <c r="D907" s="22" t="str">
        <f t="shared" si="1"/>
        <v/>
      </c>
      <c r="E907" s="21" t="str">
        <f>IF(A907="","",EXP(-Inputs!$C$8*A907))</f>
        <v/>
      </c>
      <c r="F907" s="22" t="str">
        <f t="shared" si="2"/>
        <v/>
      </c>
    </row>
    <row r="908">
      <c r="A908" s="18" t="str">
        <f>'Cashflow Schedule'!B908</f>
        <v/>
      </c>
      <c r="B908" s="18" t="str">
        <f>'Cashflow Schedule'!E908</f>
        <v/>
      </c>
      <c r="C908" s="22" t="str">
        <f>IF(A908="","",Inputs!$C$6*EXP((Inputs!$C$8-Inputs!$C$7)*A908))</f>
        <v/>
      </c>
      <c r="D908" s="22" t="str">
        <f t="shared" si="1"/>
        <v/>
      </c>
      <c r="E908" s="21" t="str">
        <f>IF(A908="","",EXP(-Inputs!$C$8*A908))</f>
        <v/>
      </c>
      <c r="F908" s="22" t="str">
        <f t="shared" si="2"/>
        <v/>
      </c>
    </row>
    <row r="909">
      <c r="A909" s="18" t="str">
        <f>'Cashflow Schedule'!B909</f>
        <v/>
      </c>
      <c r="B909" s="18" t="str">
        <f>'Cashflow Schedule'!E909</f>
        <v/>
      </c>
      <c r="C909" s="22" t="str">
        <f>IF(A909="","",Inputs!$C$6*EXP((Inputs!$C$8-Inputs!$C$7)*A909))</f>
        <v/>
      </c>
      <c r="D909" s="22" t="str">
        <f t="shared" si="1"/>
        <v/>
      </c>
      <c r="E909" s="21" t="str">
        <f>IF(A909="","",EXP(-Inputs!$C$8*A909))</f>
        <v/>
      </c>
      <c r="F909" s="22" t="str">
        <f t="shared" si="2"/>
        <v/>
      </c>
    </row>
    <row r="910">
      <c r="A910" s="18" t="str">
        <f>'Cashflow Schedule'!B910</f>
        <v/>
      </c>
      <c r="B910" s="18" t="str">
        <f>'Cashflow Schedule'!E910</f>
        <v/>
      </c>
      <c r="C910" s="22" t="str">
        <f>IF(A910="","",Inputs!$C$6*EXP((Inputs!$C$8-Inputs!$C$7)*A910))</f>
        <v/>
      </c>
      <c r="D910" s="22" t="str">
        <f t="shared" si="1"/>
        <v/>
      </c>
      <c r="E910" s="21" t="str">
        <f>IF(A910="","",EXP(-Inputs!$C$8*A910))</f>
        <v/>
      </c>
      <c r="F910" s="22" t="str">
        <f t="shared" si="2"/>
        <v/>
      </c>
    </row>
    <row r="911">
      <c r="A911" s="18" t="str">
        <f>'Cashflow Schedule'!B911</f>
        <v/>
      </c>
      <c r="B911" s="18" t="str">
        <f>'Cashflow Schedule'!E911</f>
        <v/>
      </c>
      <c r="C911" s="22" t="str">
        <f>IF(A911="","",Inputs!$C$6*EXP((Inputs!$C$8-Inputs!$C$7)*A911))</f>
        <v/>
      </c>
      <c r="D911" s="22" t="str">
        <f t="shared" si="1"/>
        <v/>
      </c>
      <c r="E911" s="21" t="str">
        <f>IF(A911="","",EXP(-Inputs!$C$8*A911))</f>
        <v/>
      </c>
      <c r="F911" s="22" t="str">
        <f t="shared" si="2"/>
        <v/>
      </c>
    </row>
    <row r="912">
      <c r="A912" s="18" t="str">
        <f>'Cashflow Schedule'!B912</f>
        <v/>
      </c>
      <c r="B912" s="18" t="str">
        <f>'Cashflow Schedule'!E912</f>
        <v/>
      </c>
      <c r="C912" s="22" t="str">
        <f>IF(A912="","",Inputs!$C$6*EXP((Inputs!$C$8-Inputs!$C$7)*A912))</f>
        <v/>
      </c>
      <c r="D912" s="22" t="str">
        <f t="shared" si="1"/>
        <v/>
      </c>
      <c r="E912" s="21" t="str">
        <f>IF(A912="","",EXP(-Inputs!$C$8*A912))</f>
        <v/>
      </c>
      <c r="F912" s="22" t="str">
        <f t="shared" si="2"/>
        <v/>
      </c>
    </row>
    <row r="913">
      <c r="A913" s="18" t="str">
        <f>'Cashflow Schedule'!B913</f>
        <v/>
      </c>
      <c r="B913" s="18" t="str">
        <f>'Cashflow Schedule'!E913</f>
        <v/>
      </c>
      <c r="C913" s="22" t="str">
        <f>IF(A913="","",Inputs!$C$6*EXP((Inputs!$C$8-Inputs!$C$7)*A913))</f>
        <v/>
      </c>
      <c r="D913" s="22" t="str">
        <f t="shared" si="1"/>
        <v/>
      </c>
      <c r="E913" s="21" t="str">
        <f>IF(A913="","",EXP(-Inputs!$C$8*A913))</f>
        <v/>
      </c>
      <c r="F913" s="22" t="str">
        <f t="shared" si="2"/>
        <v/>
      </c>
    </row>
    <row r="914">
      <c r="A914" s="18" t="str">
        <f>'Cashflow Schedule'!B914</f>
        <v/>
      </c>
      <c r="B914" s="18" t="str">
        <f>'Cashflow Schedule'!E914</f>
        <v/>
      </c>
      <c r="C914" s="22" t="str">
        <f>IF(A914="","",Inputs!$C$6*EXP((Inputs!$C$8-Inputs!$C$7)*A914))</f>
        <v/>
      </c>
      <c r="D914" s="22" t="str">
        <f t="shared" si="1"/>
        <v/>
      </c>
      <c r="E914" s="21" t="str">
        <f>IF(A914="","",EXP(-Inputs!$C$8*A914))</f>
        <v/>
      </c>
      <c r="F914" s="22" t="str">
        <f t="shared" si="2"/>
        <v/>
      </c>
    </row>
    <row r="915">
      <c r="A915" s="18" t="str">
        <f>'Cashflow Schedule'!B915</f>
        <v/>
      </c>
      <c r="B915" s="18" t="str">
        <f>'Cashflow Schedule'!E915</f>
        <v/>
      </c>
      <c r="C915" s="22" t="str">
        <f>IF(A915="","",Inputs!$C$6*EXP((Inputs!$C$8-Inputs!$C$7)*A915))</f>
        <v/>
      </c>
      <c r="D915" s="22" t="str">
        <f t="shared" si="1"/>
        <v/>
      </c>
      <c r="E915" s="21" t="str">
        <f>IF(A915="","",EXP(-Inputs!$C$8*A915))</f>
        <v/>
      </c>
      <c r="F915" s="22" t="str">
        <f t="shared" si="2"/>
        <v/>
      </c>
    </row>
    <row r="916">
      <c r="A916" s="18" t="str">
        <f>'Cashflow Schedule'!B916</f>
        <v/>
      </c>
      <c r="B916" s="18" t="str">
        <f>'Cashflow Schedule'!E916</f>
        <v/>
      </c>
      <c r="C916" s="22" t="str">
        <f>IF(A916="","",Inputs!$C$6*EXP((Inputs!$C$8-Inputs!$C$7)*A916))</f>
        <v/>
      </c>
      <c r="D916" s="22" t="str">
        <f t="shared" si="1"/>
        <v/>
      </c>
      <c r="E916" s="21" t="str">
        <f>IF(A916="","",EXP(-Inputs!$C$8*A916))</f>
        <v/>
      </c>
      <c r="F916" s="22" t="str">
        <f t="shared" si="2"/>
        <v/>
      </c>
    </row>
    <row r="917">
      <c r="A917" s="18" t="str">
        <f>'Cashflow Schedule'!B917</f>
        <v/>
      </c>
      <c r="B917" s="18" t="str">
        <f>'Cashflow Schedule'!E917</f>
        <v/>
      </c>
      <c r="C917" s="22" t="str">
        <f>IF(A917="","",Inputs!$C$6*EXP((Inputs!$C$8-Inputs!$C$7)*A917))</f>
        <v/>
      </c>
      <c r="D917" s="22" t="str">
        <f t="shared" si="1"/>
        <v/>
      </c>
      <c r="E917" s="21" t="str">
        <f>IF(A917="","",EXP(-Inputs!$C$8*A917))</f>
        <v/>
      </c>
      <c r="F917" s="22" t="str">
        <f t="shared" si="2"/>
        <v/>
      </c>
    </row>
    <row r="918">
      <c r="A918" s="18" t="str">
        <f>'Cashflow Schedule'!B918</f>
        <v/>
      </c>
      <c r="B918" s="18" t="str">
        <f>'Cashflow Schedule'!E918</f>
        <v/>
      </c>
      <c r="C918" s="22" t="str">
        <f>IF(A918="","",Inputs!$C$6*EXP((Inputs!$C$8-Inputs!$C$7)*A918))</f>
        <v/>
      </c>
      <c r="D918" s="22" t="str">
        <f t="shared" si="1"/>
        <v/>
      </c>
      <c r="E918" s="21" t="str">
        <f>IF(A918="","",EXP(-Inputs!$C$8*A918))</f>
        <v/>
      </c>
      <c r="F918" s="22" t="str">
        <f t="shared" si="2"/>
        <v/>
      </c>
    </row>
    <row r="919">
      <c r="A919" s="18" t="str">
        <f>'Cashflow Schedule'!B919</f>
        <v/>
      </c>
      <c r="B919" s="18" t="str">
        <f>'Cashflow Schedule'!E919</f>
        <v/>
      </c>
      <c r="C919" s="22" t="str">
        <f>IF(A919="","",Inputs!$C$6*EXP((Inputs!$C$8-Inputs!$C$7)*A919))</f>
        <v/>
      </c>
      <c r="D919" s="22" t="str">
        <f t="shared" si="1"/>
        <v/>
      </c>
      <c r="E919" s="21" t="str">
        <f>IF(A919="","",EXP(-Inputs!$C$8*A919))</f>
        <v/>
      </c>
      <c r="F919" s="22" t="str">
        <f t="shared" si="2"/>
        <v/>
      </c>
    </row>
    <row r="920">
      <c r="A920" s="18" t="str">
        <f>'Cashflow Schedule'!B920</f>
        <v/>
      </c>
      <c r="B920" s="18" t="str">
        <f>'Cashflow Schedule'!E920</f>
        <v/>
      </c>
      <c r="C920" s="22" t="str">
        <f>IF(A920="","",Inputs!$C$6*EXP((Inputs!$C$8-Inputs!$C$7)*A920))</f>
        <v/>
      </c>
      <c r="D920" s="22" t="str">
        <f t="shared" si="1"/>
        <v/>
      </c>
      <c r="E920" s="21" t="str">
        <f>IF(A920="","",EXP(-Inputs!$C$8*A920))</f>
        <v/>
      </c>
      <c r="F920" s="22" t="str">
        <f t="shared" si="2"/>
        <v/>
      </c>
    </row>
    <row r="921">
      <c r="A921" s="18" t="str">
        <f>'Cashflow Schedule'!B921</f>
        <v/>
      </c>
      <c r="B921" s="18" t="str">
        <f>'Cashflow Schedule'!E921</f>
        <v/>
      </c>
      <c r="C921" s="22" t="str">
        <f>IF(A921="","",Inputs!$C$6*EXP((Inputs!$C$8-Inputs!$C$7)*A921))</f>
        <v/>
      </c>
      <c r="D921" s="22" t="str">
        <f t="shared" si="1"/>
        <v/>
      </c>
      <c r="E921" s="21" t="str">
        <f>IF(A921="","",EXP(-Inputs!$C$8*A921))</f>
        <v/>
      </c>
      <c r="F921" s="22" t="str">
        <f t="shared" si="2"/>
        <v/>
      </c>
    </row>
    <row r="922">
      <c r="A922" s="18" t="str">
        <f>'Cashflow Schedule'!B922</f>
        <v/>
      </c>
      <c r="B922" s="18" t="str">
        <f>'Cashflow Schedule'!E922</f>
        <v/>
      </c>
      <c r="C922" s="22" t="str">
        <f>IF(A922="","",Inputs!$C$6*EXP((Inputs!$C$8-Inputs!$C$7)*A922))</f>
        <v/>
      </c>
      <c r="D922" s="22" t="str">
        <f t="shared" si="1"/>
        <v/>
      </c>
      <c r="E922" s="21" t="str">
        <f>IF(A922="","",EXP(-Inputs!$C$8*A922))</f>
        <v/>
      </c>
      <c r="F922" s="22" t="str">
        <f t="shared" si="2"/>
        <v/>
      </c>
    </row>
    <row r="923">
      <c r="A923" s="18" t="str">
        <f>'Cashflow Schedule'!B923</f>
        <v/>
      </c>
      <c r="B923" s="18" t="str">
        <f>'Cashflow Schedule'!E923</f>
        <v/>
      </c>
      <c r="C923" s="22" t="str">
        <f>IF(A923="","",Inputs!$C$6*EXP((Inputs!$C$8-Inputs!$C$7)*A923))</f>
        <v/>
      </c>
      <c r="D923" s="22" t="str">
        <f t="shared" si="1"/>
        <v/>
      </c>
      <c r="E923" s="21" t="str">
        <f>IF(A923="","",EXP(-Inputs!$C$8*A923))</f>
        <v/>
      </c>
      <c r="F923" s="22" t="str">
        <f t="shared" si="2"/>
        <v/>
      </c>
    </row>
    <row r="924">
      <c r="A924" s="18" t="str">
        <f>'Cashflow Schedule'!B924</f>
        <v/>
      </c>
      <c r="B924" s="18" t="str">
        <f>'Cashflow Schedule'!E924</f>
        <v/>
      </c>
      <c r="C924" s="22" t="str">
        <f>IF(A924="","",Inputs!$C$6*EXP((Inputs!$C$8-Inputs!$C$7)*A924))</f>
        <v/>
      </c>
      <c r="D924" s="22" t="str">
        <f t="shared" si="1"/>
        <v/>
      </c>
      <c r="E924" s="21" t="str">
        <f>IF(A924="","",EXP(-Inputs!$C$8*A924))</f>
        <v/>
      </c>
      <c r="F924" s="22" t="str">
        <f t="shared" si="2"/>
        <v/>
      </c>
    </row>
    <row r="925">
      <c r="A925" s="18" t="str">
        <f>'Cashflow Schedule'!B925</f>
        <v/>
      </c>
      <c r="B925" s="18" t="str">
        <f>'Cashflow Schedule'!E925</f>
        <v/>
      </c>
      <c r="C925" s="22" t="str">
        <f>IF(A925="","",Inputs!$C$6*EXP((Inputs!$C$8-Inputs!$C$7)*A925))</f>
        <v/>
      </c>
      <c r="D925" s="22" t="str">
        <f t="shared" si="1"/>
        <v/>
      </c>
      <c r="E925" s="21" t="str">
        <f>IF(A925="","",EXP(-Inputs!$C$8*A925))</f>
        <v/>
      </c>
      <c r="F925" s="22" t="str">
        <f t="shared" si="2"/>
        <v/>
      </c>
    </row>
    <row r="926">
      <c r="A926" s="18" t="str">
        <f>'Cashflow Schedule'!B926</f>
        <v/>
      </c>
      <c r="B926" s="18" t="str">
        <f>'Cashflow Schedule'!E926</f>
        <v/>
      </c>
      <c r="C926" s="22" t="str">
        <f>IF(A926="","",Inputs!$C$6*EXP((Inputs!$C$8-Inputs!$C$7)*A926))</f>
        <v/>
      </c>
      <c r="D926" s="22" t="str">
        <f t="shared" si="1"/>
        <v/>
      </c>
      <c r="E926" s="21" t="str">
        <f>IF(A926="","",EXP(-Inputs!$C$8*A926))</f>
        <v/>
      </c>
      <c r="F926" s="22" t="str">
        <f t="shared" si="2"/>
        <v/>
      </c>
    </row>
    <row r="927">
      <c r="A927" s="18" t="str">
        <f>'Cashflow Schedule'!B927</f>
        <v/>
      </c>
      <c r="B927" s="18" t="str">
        <f>'Cashflow Schedule'!E927</f>
        <v/>
      </c>
      <c r="C927" s="22" t="str">
        <f>IF(A927="","",Inputs!$C$6*EXP((Inputs!$C$8-Inputs!$C$7)*A927))</f>
        <v/>
      </c>
      <c r="D927" s="22" t="str">
        <f t="shared" si="1"/>
        <v/>
      </c>
      <c r="E927" s="21" t="str">
        <f>IF(A927="","",EXP(-Inputs!$C$8*A927))</f>
        <v/>
      </c>
      <c r="F927" s="22" t="str">
        <f t="shared" si="2"/>
        <v/>
      </c>
    </row>
    <row r="928">
      <c r="A928" s="18" t="str">
        <f>'Cashflow Schedule'!B928</f>
        <v/>
      </c>
      <c r="B928" s="18" t="str">
        <f>'Cashflow Schedule'!E928</f>
        <v/>
      </c>
      <c r="C928" s="22" t="str">
        <f>IF(A928="","",Inputs!$C$6*EXP((Inputs!$C$8-Inputs!$C$7)*A928))</f>
        <v/>
      </c>
      <c r="D928" s="22" t="str">
        <f t="shared" si="1"/>
        <v/>
      </c>
      <c r="E928" s="21" t="str">
        <f>IF(A928="","",EXP(-Inputs!$C$8*A928))</f>
        <v/>
      </c>
      <c r="F928" s="22" t="str">
        <f t="shared" si="2"/>
        <v/>
      </c>
    </row>
    <row r="929">
      <c r="A929" s="18" t="str">
        <f>'Cashflow Schedule'!B929</f>
        <v/>
      </c>
      <c r="B929" s="18" t="str">
        <f>'Cashflow Schedule'!E929</f>
        <v/>
      </c>
      <c r="C929" s="22" t="str">
        <f>IF(A929="","",Inputs!$C$6*EXP((Inputs!$C$8-Inputs!$C$7)*A929))</f>
        <v/>
      </c>
      <c r="D929" s="22" t="str">
        <f t="shared" si="1"/>
        <v/>
      </c>
      <c r="E929" s="21" t="str">
        <f>IF(A929="","",EXP(-Inputs!$C$8*A929))</f>
        <v/>
      </c>
      <c r="F929" s="22" t="str">
        <f t="shared" si="2"/>
        <v/>
      </c>
    </row>
    <row r="930">
      <c r="A930" s="18" t="str">
        <f>'Cashflow Schedule'!B930</f>
        <v/>
      </c>
      <c r="B930" s="18" t="str">
        <f>'Cashflow Schedule'!E930</f>
        <v/>
      </c>
      <c r="C930" s="22" t="str">
        <f>IF(A930="","",Inputs!$C$6*EXP((Inputs!$C$8-Inputs!$C$7)*A930))</f>
        <v/>
      </c>
      <c r="D930" s="22" t="str">
        <f t="shared" si="1"/>
        <v/>
      </c>
      <c r="E930" s="21" t="str">
        <f>IF(A930="","",EXP(-Inputs!$C$8*A930))</f>
        <v/>
      </c>
      <c r="F930" s="22" t="str">
        <f t="shared" si="2"/>
        <v/>
      </c>
    </row>
    <row r="931">
      <c r="A931" s="18" t="str">
        <f>'Cashflow Schedule'!B931</f>
        <v/>
      </c>
      <c r="B931" s="18" t="str">
        <f>'Cashflow Schedule'!E931</f>
        <v/>
      </c>
      <c r="C931" s="22" t="str">
        <f>IF(A931="","",Inputs!$C$6*EXP((Inputs!$C$8-Inputs!$C$7)*A931))</f>
        <v/>
      </c>
      <c r="D931" s="22" t="str">
        <f t="shared" si="1"/>
        <v/>
      </c>
      <c r="E931" s="21" t="str">
        <f>IF(A931="","",EXP(-Inputs!$C$8*A931))</f>
        <v/>
      </c>
      <c r="F931" s="22" t="str">
        <f t="shared" si="2"/>
        <v/>
      </c>
    </row>
    <row r="932">
      <c r="A932" s="18" t="str">
        <f>'Cashflow Schedule'!B932</f>
        <v/>
      </c>
      <c r="B932" s="18" t="str">
        <f>'Cashflow Schedule'!E932</f>
        <v/>
      </c>
      <c r="C932" s="22" t="str">
        <f>IF(A932="","",Inputs!$C$6*EXP((Inputs!$C$8-Inputs!$C$7)*A932))</f>
        <v/>
      </c>
      <c r="D932" s="22" t="str">
        <f t="shared" si="1"/>
        <v/>
      </c>
      <c r="E932" s="21" t="str">
        <f>IF(A932="","",EXP(-Inputs!$C$8*A932))</f>
        <v/>
      </c>
      <c r="F932" s="22" t="str">
        <f t="shared" si="2"/>
        <v/>
      </c>
    </row>
    <row r="933">
      <c r="A933" s="18" t="str">
        <f>'Cashflow Schedule'!B933</f>
        <v/>
      </c>
      <c r="B933" s="18" t="str">
        <f>'Cashflow Schedule'!E933</f>
        <v/>
      </c>
      <c r="C933" s="22" t="str">
        <f>IF(A933="","",Inputs!$C$6*EXP((Inputs!$C$8-Inputs!$C$7)*A933))</f>
        <v/>
      </c>
      <c r="D933" s="22" t="str">
        <f t="shared" si="1"/>
        <v/>
      </c>
      <c r="E933" s="21" t="str">
        <f>IF(A933="","",EXP(-Inputs!$C$8*A933))</f>
        <v/>
      </c>
      <c r="F933" s="22" t="str">
        <f t="shared" si="2"/>
        <v/>
      </c>
    </row>
    <row r="934">
      <c r="A934" s="18" t="str">
        <f>'Cashflow Schedule'!B934</f>
        <v/>
      </c>
      <c r="B934" s="18" t="str">
        <f>'Cashflow Schedule'!E934</f>
        <v/>
      </c>
      <c r="C934" s="22" t="str">
        <f>IF(A934="","",Inputs!$C$6*EXP((Inputs!$C$8-Inputs!$C$7)*A934))</f>
        <v/>
      </c>
      <c r="D934" s="22" t="str">
        <f t="shared" si="1"/>
        <v/>
      </c>
      <c r="E934" s="21" t="str">
        <f>IF(A934="","",EXP(-Inputs!$C$8*A934))</f>
        <v/>
      </c>
      <c r="F934" s="22" t="str">
        <f t="shared" si="2"/>
        <v/>
      </c>
    </row>
    <row r="935">
      <c r="A935" s="18" t="str">
        <f>'Cashflow Schedule'!B935</f>
        <v/>
      </c>
      <c r="B935" s="18" t="str">
        <f>'Cashflow Schedule'!E935</f>
        <v/>
      </c>
      <c r="C935" s="22" t="str">
        <f>IF(A935="","",Inputs!$C$6*EXP((Inputs!$C$8-Inputs!$C$7)*A935))</f>
        <v/>
      </c>
      <c r="D935" s="22" t="str">
        <f t="shared" si="1"/>
        <v/>
      </c>
      <c r="E935" s="21" t="str">
        <f>IF(A935="","",EXP(-Inputs!$C$8*A935))</f>
        <v/>
      </c>
      <c r="F935" s="22" t="str">
        <f t="shared" si="2"/>
        <v/>
      </c>
    </row>
    <row r="936">
      <c r="A936" s="18" t="str">
        <f>'Cashflow Schedule'!B936</f>
        <v/>
      </c>
      <c r="B936" s="18" t="str">
        <f>'Cashflow Schedule'!E936</f>
        <v/>
      </c>
      <c r="C936" s="22" t="str">
        <f>IF(A936="","",Inputs!$C$6*EXP((Inputs!$C$8-Inputs!$C$7)*A936))</f>
        <v/>
      </c>
      <c r="D936" s="22" t="str">
        <f t="shared" si="1"/>
        <v/>
      </c>
      <c r="E936" s="21" t="str">
        <f>IF(A936="","",EXP(-Inputs!$C$8*A936))</f>
        <v/>
      </c>
      <c r="F936" s="22" t="str">
        <f t="shared" si="2"/>
        <v/>
      </c>
    </row>
    <row r="937">
      <c r="A937" s="18" t="str">
        <f>'Cashflow Schedule'!B937</f>
        <v/>
      </c>
      <c r="B937" s="18" t="str">
        <f>'Cashflow Schedule'!E937</f>
        <v/>
      </c>
      <c r="C937" s="22" t="str">
        <f>IF(A937="","",Inputs!$C$6*EXP((Inputs!$C$8-Inputs!$C$7)*A937))</f>
        <v/>
      </c>
      <c r="D937" s="22" t="str">
        <f t="shared" si="1"/>
        <v/>
      </c>
      <c r="E937" s="21" t="str">
        <f>IF(A937="","",EXP(-Inputs!$C$8*A937))</f>
        <v/>
      </c>
      <c r="F937" s="22" t="str">
        <f t="shared" si="2"/>
        <v/>
      </c>
    </row>
    <row r="938">
      <c r="A938" s="18" t="str">
        <f>'Cashflow Schedule'!B938</f>
        <v/>
      </c>
      <c r="B938" s="18" t="str">
        <f>'Cashflow Schedule'!E938</f>
        <v/>
      </c>
      <c r="C938" s="22" t="str">
        <f>IF(A938="","",Inputs!$C$6*EXP((Inputs!$C$8-Inputs!$C$7)*A938))</f>
        <v/>
      </c>
      <c r="D938" s="22" t="str">
        <f t="shared" si="1"/>
        <v/>
      </c>
      <c r="E938" s="21" t="str">
        <f>IF(A938="","",EXP(-Inputs!$C$8*A938))</f>
        <v/>
      </c>
      <c r="F938" s="22" t="str">
        <f t="shared" si="2"/>
        <v/>
      </c>
    </row>
    <row r="939">
      <c r="A939" s="18" t="str">
        <f>'Cashflow Schedule'!B939</f>
        <v/>
      </c>
      <c r="B939" s="18" t="str">
        <f>'Cashflow Schedule'!E939</f>
        <v/>
      </c>
      <c r="C939" s="22" t="str">
        <f>IF(A939="","",Inputs!$C$6*EXP((Inputs!$C$8-Inputs!$C$7)*A939))</f>
        <v/>
      </c>
      <c r="D939" s="22" t="str">
        <f t="shared" si="1"/>
        <v/>
      </c>
      <c r="E939" s="21" t="str">
        <f>IF(A939="","",EXP(-Inputs!$C$8*A939))</f>
        <v/>
      </c>
      <c r="F939" s="22" t="str">
        <f t="shared" si="2"/>
        <v/>
      </c>
    </row>
    <row r="940">
      <c r="A940" s="18" t="str">
        <f>'Cashflow Schedule'!B940</f>
        <v/>
      </c>
      <c r="B940" s="18" t="str">
        <f>'Cashflow Schedule'!E940</f>
        <v/>
      </c>
      <c r="C940" s="22" t="str">
        <f>IF(A940="","",Inputs!$C$6*EXP((Inputs!$C$8-Inputs!$C$7)*A940))</f>
        <v/>
      </c>
      <c r="D940" s="22" t="str">
        <f t="shared" si="1"/>
        <v/>
      </c>
      <c r="E940" s="21" t="str">
        <f>IF(A940="","",EXP(-Inputs!$C$8*A940))</f>
        <v/>
      </c>
      <c r="F940" s="22" t="str">
        <f t="shared" si="2"/>
        <v/>
      </c>
    </row>
    <row r="941">
      <c r="A941" s="18" t="str">
        <f>'Cashflow Schedule'!B941</f>
        <v/>
      </c>
      <c r="B941" s="18" t="str">
        <f>'Cashflow Schedule'!E941</f>
        <v/>
      </c>
      <c r="C941" s="22" t="str">
        <f>IF(A941="","",Inputs!$C$6*EXP((Inputs!$C$8-Inputs!$C$7)*A941))</f>
        <v/>
      </c>
      <c r="D941" s="22" t="str">
        <f t="shared" si="1"/>
        <v/>
      </c>
      <c r="E941" s="21" t="str">
        <f>IF(A941="","",EXP(-Inputs!$C$8*A941))</f>
        <v/>
      </c>
      <c r="F941" s="22" t="str">
        <f t="shared" si="2"/>
        <v/>
      </c>
    </row>
    <row r="942">
      <c r="A942" s="18" t="str">
        <f>'Cashflow Schedule'!B942</f>
        <v/>
      </c>
      <c r="B942" s="18" t="str">
        <f>'Cashflow Schedule'!E942</f>
        <v/>
      </c>
      <c r="C942" s="22" t="str">
        <f>IF(A942="","",Inputs!$C$6*EXP((Inputs!$C$8-Inputs!$C$7)*A942))</f>
        <v/>
      </c>
      <c r="D942" s="22" t="str">
        <f t="shared" si="1"/>
        <v/>
      </c>
      <c r="E942" s="21" t="str">
        <f>IF(A942="","",EXP(-Inputs!$C$8*A942))</f>
        <v/>
      </c>
      <c r="F942" s="22" t="str">
        <f t="shared" si="2"/>
        <v/>
      </c>
    </row>
    <row r="943">
      <c r="A943" s="18" t="str">
        <f>'Cashflow Schedule'!B943</f>
        <v/>
      </c>
      <c r="B943" s="18" t="str">
        <f>'Cashflow Schedule'!E943</f>
        <v/>
      </c>
      <c r="C943" s="22" t="str">
        <f>IF(A943="","",Inputs!$C$6*EXP((Inputs!$C$8-Inputs!$C$7)*A943))</f>
        <v/>
      </c>
      <c r="D943" s="22" t="str">
        <f t="shared" si="1"/>
        <v/>
      </c>
      <c r="E943" s="21" t="str">
        <f>IF(A943="","",EXP(-Inputs!$C$8*A943))</f>
        <v/>
      </c>
      <c r="F943" s="22" t="str">
        <f t="shared" si="2"/>
        <v/>
      </c>
    </row>
    <row r="944">
      <c r="A944" s="18" t="str">
        <f>'Cashflow Schedule'!B944</f>
        <v/>
      </c>
      <c r="B944" s="18" t="str">
        <f>'Cashflow Schedule'!E944</f>
        <v/>
      </c>
      <c r="C944" s="22" t="str">
        <f>IF(A944="","",Inputs!$C$6*EXP((Inputs!$C$8-Inputs!$C$7)*A944))</f>
        <v/>
      </c>
      <c r="D944" s="22" t="str">
        <f t="shared" si="1"/>
        <v/>
      </c>
      <c r="E944" s="21" t="str">
        <f>IF(A944="","",EXP(-Inputs!$C$8*A944))</f>
        <v/>
      </c>
      <c r="F944" s="22" t="str">
        <f t="shared" si="2"/>
        <v/>
      </c>
    </row>
    <row r="945">
      <c r="A945" s="18" t="str">
        <f>'Cashflow Schedule'!B945</f>
        <v/>
      </c>
      <c r="B945" s="18" t="str">
        <f>'Cashflow Schedule'!E945</f>
        <v/>
      </c>
      <c r="C945" s="22" t="str">
        <f>IF(A945="","",Inputs!$C$6*EXP((Inputs!$C$8-Inputs!$C$7)*A945))</f>
        <v/>
      </c>
      <c r="D945" s="22" t="str">
        <f t="shared" si="1"/>
        <v/>
      </c>
      <c r="E945" s="21" t="str">
        <f>IF(A945="","",EXP(-Inputs!$C$8*A945))</f>
        <v/>
      </c>
      <c r="F945" s="22" t="str">
        <f t="shared" si="2"/>
        <v/>
      </c>
    </row>
    <row r="946">
      <c r="A946" s="18" t="str">
        <f>'Cashflow Schedule'!B946</f>
        <v/>
      </c>
      <c r="B946" s="18" t="str">
        <f>'Cashflow Schedule'!E946</f>
        <v/>
      </c>
      <c r="C946" s="22" t="str">
        <f>IF(A946="","",Inputs!$C$6*EXP((Inputs!$C$8-Inputs!$C$7)*A946))</f>
        <v/>
      </c>
      <c r="D946" s="22" t="str">
        <f t="shared" si="1"/>
        <v/>
      </c>
      <c r="E946" s="21" t="str">
        <f>IF(A946="","",EXP(-Inputs!$C$8*A946))</f>
        <v/>
      </c>
      <c r="F946" s="22" t="str">
        <f t="shared" si="2"/>
        <v/>
      </c>
    </row>
    <row r="947">
      <c r="A947" s="18" t="str">
        <f>'Cashflow Schedule'!B947</f>
        <v/>
      </c>
      <c r="B947" s="18" t="str">
        <f>'Cashflow Schedule'!E947</f>
        <v/>
      </c>
      <c r="C947" s="22" t="str">
        <f>IF(A947="","",Inputs!$C$6*EXP((Inputs!$C$8-Inputs!$C$7)*A947))</f>
        <v/>
      </c>
      <c r="D947" s="22" t="str">
        <f t="shared" si="1"/>
        <v/>
      </c>
      <c r="E947" s="21" t="str">
        <f>IF(A947="","",EXP(-Inputs!$C$8*A947))</f>
        <v/>
      </c>
      <c r="F947" s="22" t="str">
        <f t="shared" si="2"/>
        <v/>
      </c>
    </row>
    <row r="948">
      <c r="A948" s="18" t="str">
        <f>'Cashflow Schedule'!B948</f>
        <v/>
      </c>
      <c r="B948" s="18" t="str">
        <f>'Cashflow Schedule'!E948</f>
        <v/>
      </c>
      <c r="C948" s="22" t="str">
        <f>IF(A948="","",Inputs!$C$6*EXP((Inputs!$C$8-Inputs!$C$7)*A948))</f>
        <v/>
      </c>
      <c r="D948" s="22" t="str">
        <f t="shared" si="1"/>
        <v/>
      </c>
      <c r="E948" s="21" t="str">
        <f>IF(A948="","",EXP(-Inputs!$C$8*A948))</f>
        <v/>
      </c>
      <c r="F948" s="22" t="str">
        <f t="shared" si="2"/>
        <v/>
      </c>
    </row>
    <row r="949">
      <c r="A949" s="18" t="str">
        <f>'Cashflow Schedule'!B949</f>
        <v/>
      </c>
      <c r="B949" s="18" t="str">
        <f>'Cashflow Schedule'!E949</f>
        <v/>
      </c>
      <c r="C949" s="22" t="str">
        <f>IF(A949="","",Inputs!$C$6*EXP((Inputs!$C$8-Inputs!$C$7)*A949))</f>
        <v/>
      </c>
      <c r="D949" s="22" t="str">
        <f t="shared" si="1"/>
        <v/>
      </c>
      <c r="E949" s="21" t="str">
        <f>IF(A949="","",EXP(-Inputs!$C$8*A949))</f>
        <v/>
      </c>
      <c r="F949" s="22" t="str">
        <f t="shared" si="2"/>
        <v/>
      </c>
    </row>
    <row r="950">
      <c r="A950" s="18" t="str">
        <f>'Cashflow Schedule'!B950</f>
        <v/>
      </c>
      <c r="B950" s="18" t="str">
        <f>'Cashflow Schedule'!E950</f>
        <v/>
      </c>
      <c r="C950" s="22" t="str">
        <f>IF(A950="","",Inputs!$C$6*EXP((Inputs!$C$8-Inputs!$C$7)*A950))</f>
        <v/>
      </c>
      <c r="D950" s="22" t="str">
        <f t="shared" si="1"/>
        <v/>
      </c>
      <c r="E950" s="21" t="str">
        <f>IF(A950="","",EXP(-Inputs!$C$8*A950))</f>
        <v/>
      </c>
      <c r="F950" s="22" t="str">
        <f t="shared" si="2"/>
        <v/>
      </c>
    </row>
    <row r="951">
      <c r="A951" s="18" t="str">
        <f>'Cashflow Schedule'!B951</f>
        <v/>
      </c>
      <c r="B951" s="18" t="str">
        <f>'Cashflow Schedule'!E951</f>
        <v/>
      </c>
      <c r="C951" s="22" t="str">
        <f>IF(A951="","",Inputs!$C$6*EXP((Inputs!$C$8-Inputs!$C$7)*A951))</f>
        <v/>
      </c>
      <c r="D951" s="22" t="str">
        <f t="shared" si="1"/>
        <v/>
      </c>
      <c r="E951" s="21" t="str">
        <f>IF(A951="","",EXP(-Inputs!$C$8*A951))</f>
        <v/>
      </c>
      <c r="F951" s="22" t="str">
        <f t="shared" si="2"/>
        <v/>
      </c>
    </row>
    <row r="952">
      <c r="A952" s="18" t="str">
        <f>'Cashflow Schedule'!B952</f>
        <v/>
      </c>
      <c r="B952" s="18" t="str">
        <f>'Cashflow Schedule'!E952</f>
        <v/>
      </c>
      <c r="C952" s="22" t="str">
        <f>IF(A952="","",Inputs!$C$6*EXP((Inputs!$C$8-Inputs!$C$7)*A952))</f>
        <v/>
      </c>
      <c r="D952" s="22" t="str">
        <f t="shared" si="1"/>
        <v/>
      </c>
      <c r="E952" s="21" t="str">
        <f>IF(A952="","",EXP(-Inputs!$C$8*A952))</f>
        <v/>
      </c>
      <c r="F952" s="22" t="str">
        <f t="shared" si="2"/>
        <v/>
      </c>
    </row>
    <row r="953">
      <c r="A953" s="18" t="str">
        <f>'Cashflow Schedule'!B953</f>
        <v/>
      </c>
      <c r="B953" s="18" t="str">
        <f>'Cashflow Schedule'!E953</f>
        <v/>
      </c>
      <c r="C953" s="22" t="str">
        <f>IF(A953="","",Inputs!$C$6*EXP((Inputs!$C$8-Inputs!$C$7)*A953))</f>
        <v/>
      </c>
      <c r="D953" s="22" t="str">
        <f t="shared" si="1"/>
        <v/>
      </c>
      <c r="E953" s="21" t="str">
        <f>IF(A953="","",EXP(-Inputs!$C$8*A953))</f>
        <v/>
      </c>
      <c r="F953" s="22" t="str">
        <f t="shared" si="2"/>
        <v/>
      </c>
    </row>
    <row r="954">
      <c r="A954" s="18" t="str">
        <f>'Cashflow Schedule'!B954</f>
        <v/>
      </c>
      <c r="B954" s="18" t="str">
        <f>'Cashflow Schedule'!E954</f>
        <v/>
      </c>
      <c r="C954" s="22" t="str">
        <f>IF(A954="","",Inputs!$C$6*EXP((Inputs!$C$8-Inputs!$C$7)*A954))</f>
        <v/>
      </c>
      <c r="D954" s="22" t="str">
        <f t="shared" si="1"/>
        <v/>
      </c>
      <c r="E954" s="21" t="str">
        <f>IF(A954="","",EXP(-Inputs!$C$8*A954))</f>
        <v/>
      </c>
      <c r="F954" s="22" t="str">
        <f t="shared" si="2"/>
        <v/>
      </c>
    </row>
    <row r="955">
      <c r="A955" s="18" t="str">
        <f>'Cashflow Schedule'!B955</f>
        <v/>
      </c>
      <c r="B955" s="18" t="str">
        <f>'Cashflow Schedule'!E955</f>
        <v/>
      </c>
      <c r="C955" s="22" t="str">
        <f>IF(A955="","",Inputs!$C$6*EXP((Inputs!$C$8-Inputs!$C$7)*A955))</f>
        <v/>
      </c>
      <c r="D955" s="22" t="str">
        <f t="shared" si="1"/>
        <v/>
      </c>
      <c r="E955" s="21" t="str">
        <f>IF(A955="","",EXP(-Inputs!$C$8*A955))</f>
        <v/>
      </c>
      <c r="F955" s="22" t="str">
        <f t="shared" si="2"/>
        <v/>
      </c>
    </row>
    <row r="956">
      <c r="A956" s="18" t="str">
        <f>'Cashflow Schedule'!B956</f>
        <v/>
      </c>
      <c r="B956" s="18" t="str">
        <f>'Cashflow Schedule'!E956</f>
        <v/>
      </c>
      <c r="C956" s="22" t="str">
        <f>IF(A956="","",Inputs!$C$6*EXP((Inputs!$C$8-Inputs!$C$7)*A956))</f>
        <v/>
      </c>
      <c r="D956" s="22" t="str">
        <f t="shared" si="1"/>
        <v/>
      </c>
      <c r="E956" s="21" t="str">
        <f>IF(A956="","",EXP(-Inputs!$C$8*A956))</f>
        <v/>
      </c>
      <c r="F956" s="22" t="str">
        <f t="shared" si="2"/>
        <v/>
      </c>
    </row>
    <row r="957">
      <c r="A957" s="18" t="str">
        <f>'Cashflow Schedule'!B957</f>
        <v/>
      </c>
      <c r="B957" s="18" t="str">
        <f>'Cashflow Schedule'!E957</f>
        <v/>
      </c>
      <c r="C957" s="22" t="str">
        <f>IF(A957="","",Inputs!$C$6*EXP((Inputs!$C$8-Inputs!$C$7)*A957))</f>
        <v/>
      </c>
      <c r="D957" s="22" t="str">
        <f t="shared" si="1"/>
        <v/>
      </c>
      <c r="E957" s="21" t="str">
        <f>IF(A957="","",EXP(-Inputs!$C$8*A957))</f>
        <v/>
      </c>
      <c r="F957" s="22" t="str">
        <f t="shared" si="2"/>
        <v/>
      </c>
    </row>
    <row r="958">
      <c r="A958" s="18" t="str">
        <f>'Cashflow Schedule'!B958</f>
        <v/>
      </c>
      <c r="B958" s="18" t="str">
        <f>'Cashflow Schedule'!E958</f>
        <v/>
      </c>
      <c r="C958" s="22" t="str">
        <f>IF(A958="","",Inputs!$C$6*EXP((Inputs!$C$8-Inputs!$C$7)*A958))</f>
        <v/>
      </c>
      <c r="D958" s="22" t="str">
        <f t="shared" si="1"/>
        <v/>
      </c>
      <c r="E958" s="21" t="str">
        <f>IF(A958="","",EXP(-Inputs!$C$8*A958))</f>
        <v/>
      </c>
      <c r="F958" s="22" t="str">
        <f t="shared" si="2"/>
        <v/>
      </c>
    </row>
    <row r="959">
      <c r="A959" s="18" t="str">
        <f>'Cashflow Schedule'!B959</f>
        <v/>
      </c>
      <c r="B959" s="18" t="str">
        <f>'Cashflow Schedule'!E959</f>
        <v/>
      </c>
      <c r="C959" s="22" t="str">
        <f>IF(A959="","",Inputs!$C$6*EXP((Inputs!$C$8-Inputs!$C$7)*A959))</f>
        <v/>
      </c>
      <c r="D959" s="22" t="str">
        <f t="shared" si="1"/>
        <v/>
      </c>
      <c r="E959" s="21" t="str">
        <f>IF(A959="","",EXP(-Inputs!$C$8*A959))</f>
        <v/>
      </c>
      <c r="F959" s="22" t="str">
        <f t="shared" si="2"/>
        <v/>
      </c>
    </row>
    <row r="960">
      <c r="A960" s="18" t="str">
        <f>'Cashflow Schedule'!B960</f>
        <v/>
      </c>
      <c r="B960" s="18" t="str">
        <f>'Cashflow Schedule'!E960</f>
        <v/>
      </c>
      <c r="C960" s="22" t="str">
        <f>IF(A960="","",Inputs!$C$6*EXP((Inputs!$C$8-Inputs!$C$7)*A960))</f>
        <v/>
      </c>
      <c r="D960" s="22" t="str">
        <f t="shared" si="1"/>
        <v/>
      </c>
      <c r="E960" s="21" t="str">
        <f>IF(A960="","",EXP(-Inputs!$C$8*A960))</f>
        <v/>
      </c>
      <c r="F960" s="22" t="str">
        <f t="shared" si="2"/>
        <v/>
      </c>
    </row>
    <row r="961">
      <c r="A961" s="18" t="str">
        <f>'Cashflow Schedule'!B961</f>
        <v/>
      </c>
      <c r="B961" s="18" t="str">
        <f>'Cashflow Schedule'!E961</f>
        <v/>
      </c>
      <c r="C961" s="22" t="str">
        <f>IF(A961="","",Inputs!$C$6*EXP((Inputs!$C$8-Inputs!$C$7)*A961))</f>
        <v/>
      </c>
      <c r="D961" s="22" t="str">
        <f t="shared" si="1"/>
        <v/>
      </c>
      <c r="E961" s="21" t="str">
        <f>IF(A961="","",EXP(-Inputs!$C$8*A961))</f>
        <v/>
      </c>
      <c r="F961" s="22" t="str">
        <f t="shared" si="2"/>
        <v/>
      </c>
    </row>
    <row r="962">
      <c r="A962" s="18" t="str">
        <f>'Cashflow Schedule'!B962</f>
        <v/>
      </c>
      <c r="B962" s="18" t="str">
        <f>'Cashflow Schedule'!E962</f>
        <v/>
      </c>
      <c r="C962" s="22" t="str">
        <f>IF(A962="","",Inputs!$C$6*EXP((Inputs!$C$8-Inputs!$C$7)*A962))</f>
        <v/>
      </c>
      <c r="D962" s="22" t="str">
        <f t="shared" si="1"/>
        <v/>
      </c>
      <c r="E962" s="21" t="str">
        <f>IF(A962="","",EXP(-Inputs!$C$8*A962))</f>
        <v/>
      </c>
      <c r="F962" s="22" t="str">
        <f t="shared" si="2"/>
        <v/>
      </c>
    </row>
    <row r="963">
      <c r="A963" s="18" t="str">
        <f>'Cashflow Schedule'!B963</f>
        <v/>
      </c>
      <c r="B963" s="18" t="str">
        <f>'Cashflow Schedule'!E963</f>
        <v/>
      </c>
      <c r="C963" s="22" t="str">
        <f>IF(A963="","",Inputs!$C$6*EXP((Inputs!$C$8-Inputs!$C$7)*A963))</f>
        <v/>
      </c>
      <c r="D963" s="22" t="str">
        <f t="shared" si="1"/>
        <v/>
      </c>
      <c r="E963" s="21" t="str">
        <f>IF(A963="","",EXP(-Inputs!$C$8*A963))</f>
        <v/>
      </c>
      <c r="F963" s="22" t="str">
        <f t="shared" si="2"/>
        <v/>
      </c>
    </row>
    <row r="964">
      <c r="A964" s="18" t="str">
        <f>'Cashflow Schedule'!B964</f>
        <v/>
      </c>
      <c r="B964" s="18" t="str">
        <f>'Cashflow Schedule'!E964</f>
        <v/>
      </c>
      <c r="C964" s="22" t="str">
        <f>IF(A964="","",Inputs!$C$6*EXP((Inputs!$C$8-Inputs!$C$7)*A964))</f>
        <v/>
      </c>
      <c r="D964" s="22" t="str">
        <f t="shared" si="1"/>
        <v/>
      </c>
      <c r="E964" s="21" t="str">
        <f>IF(A964="","",EXP(-Inputs!$C$8*A964))</f>
        <v/>
      </c>
      <c r="F964" s="22" t="str">
        <f t="shared" si="2"/>
        <v/>
      </c>
    </row>
    <row r="965">
      <c r="A965" s="18" t="str">
        <f>'Cashflow Schedule'!B965</f>
        <v/>
      </c>
      <c r="B965" s="18" t="str">
        <f>'Cashflow Schedule'!E965</f>
        <v/>
      </c>
      <c r="C965" s="22" t="str">
        <f>IF(A965="","",Inputs!$C$6*EXP((Inputs!$C$8-Inputs!$C$7)*A965))</f>
        <v/>
      </c>
      <c r="D965" s="22" t="str">
        <f t="shared" si="1"/>
        <v/>
      </c>
      <c r="E965" s="21" t="str">
        <f>IF(A965="","",EXP(-Inputs!$C$8*A965))</f>
        <v/>
      </c>
      <c r="F965" s="22" t="str">
        <f t="shared" si="2"/>
        <v/>
      </c>
    </row>
    <row r="966">
      <c r="A966" s="18" t="str">
        <f>'Cashflow Schedule'!B966</f>
        <v/>
      </c>
      <c r="B966" s="18" t="str">
        <f>'Cashflow Schedule'!E966</f>
        <v/>
      </c>
      <c r="C966" s="22" t="str">
        <f>IF(A966="","",Inputs!$C$6*EXP((Inputs!$C$8-Inputs!$C$7)*A966))</f>
        <v/>
      </c>
      <c r="D966" s="22" t="str">
        <f t="shared" si="1"/>
        <v/>
      </c>
      <c r="E966" s="21" t="str">
        <f>IF(A966="","",EXP(-Inputs!$C$8*A966))</f>
        <v/>
      </c>
      <c r="F966" s="22" t="str">
        <f t="shared" si="2"/>
        <v/>
      </c>
    </row>
    <row r="967">
      <c r="A967" s="18" t="str">
        <f>'Cashflow Schedule'!B967</f>
        <v/>
      </c>
      <c r="B967" s="18" t="str">
        <f>'Cashflow Schedule'!E967</f>
        <v/>
      </c>
      <c r="C967" s="22" t="str">
        <f>IF(A967="","",Inputs!$C$6*EXP((Inputs!$C$8-Inputs!$C$7)*A967))</f>
        <v/>
      </c>
      <c r="D967" s="22" t="str">
        <f t="shared" si="1"/>
        <v/>
      </c>
      <c r="E967" s="21" t="str">
        <f>IF(A967="","",EXP(-Inputs!$C$8*A967))</f>
        <v/>
      </c>
      <c r="F967" s="22" t="str">
        <f t="shared" si="2"/>
        <v/>
      </c>
    </row>
    <row r="968">
      <c r="A968" s="18" t="str">
        <f>'Cashflow Schedule'!B968</f>
        <v/>
      </c>
      <c r="B968" s="18" t="str">
        <f>'Cashflow Schedule'!E968</f>
        <v/>
      </c>
      <c r="C968" s="22" t="str">
        <f>IF(A968="","",Inputs!$C$6*EXP((Inputs!$C$8-Inputs!$C$7)*A968))</f>
        <v/>
      </c>
      <c r="D968" s="22" t="str">
        <f t="shared" si="1"/>
        <v/>
      </c>
      <c r="E968" s="21" t="str">
        <f>IF(A968="","",EXP(-Inputs!$C$8*A968))</f>
        <v/>
      </c>
      <c r="F968" s="22" t="str">
        <f t="shared" si="2"/>
        <v/>
      </c>
    </row>
    <row r="969">
      <c r="A969" s="18" t="str">
        <f>'Cashflow Schedule'!B969</f>
        <v/>
      </c>
      <c r="B969" s="18" t="str">
        <f>'Cashflow Schedule'!E969</f>
        <v/>
      </c>
      <c r="C969" s="22" t="str">
        <f>IF(A969="","",Inputs!$C$6*EXP((Inputs!$C$8-Inputs!$C$7)*A969))</f>
        <v/>
      </c>
      <c r="D969" s="22" t="str">
        <f t="shared" si="1"/>
        <v/>
      </c>
      <c r="E969" s="21" t="str">
        <f>IF(A969="","",EXP(-Inputs!$C$8*A969))</f>
        <v/>
      </c>
      <c r="F969" s="22" t="str">
        <f t="shared" si="2"/>
        <v/>
      </c>
    </row>
    <row r="970">
      <c r="A970" s="18" t="str">
        <f>'Cashflow Schedule'!B970</f>
        <v/>
      </c>
      <c r="B970" s="18" t="str">
        <f>'Cashflow Schedule'!E970</f>
        <v/>
      </c>
      <c r="C970" s="22" t="str">
        <f>IF(A970="","",Inputs!$C$6*EXP((Inputs!$C$8-Inputs!$C$7)*A970))</f>
        <v/>
      </c>
      <c r="D970" s="22" t="str">
        <f t="shared" si="1"/>
        <v/>
      </c>
      <c r="E970" s="21" t="str">
        <f>IF(A970="","",EXP(-Inputs!$C$8*A970))</f>
        <v/>
      </c>
      <c r="F970" s="22" t="str">
        <f t="shared" si="2"/>
        <v/>
      </c>
    </row>
    <row r="971">
      <c r="A971" s="18" t="str">
        <f>'Cashflow Schedule'!B971</f>
        <v/>
      </c>
      <c r="B971" s="18" t="str">
        <f>'Cashflow Schedule'!E971</f>
        <v/>
      </c>
      <c r="C971" s="22" t="str">
        <f>IF(A971="","",Inputs!$C$6*EXP((Inputs!$C$8-Inputs!$C$7)*A971))</f>
        <v/>
      </c>
      <c r="D971" s="22" t="str">
        <f t="shared" si="1"/>
        <v/>
      </c>
      <c r="E971" s="21" t="str">
        <f>IF(A971="","",EXP(-Inputs!$C$8*A971))</f>
        <v/>
      </c>
      <c r="F971" s="22" t="str">
        <f t="shared" si="2"/>
        <v/>
      </c>
    </row>
    <row r="972">
      <c r="A972" s="18" t="str">
        <f>'Cashflow Schedule'!B972</f>
        <v/>
      </c>
      <c r="B972" s="18" t="str">
        <f>'Cashflow Schedule'!E972</f>
        <v/>
      </c>
      <c r="C972" s="22" t="str">
        <f>IF(A972="","",Inputs!$C$6*EXP((Inputs!$C$8-Inputs!$C$7)*A972))</f>
        <v/>
      </c>
      <c r="D972" s="22" t="str">
        <f t="shared" si="1"/>
        <v/>
      </c>
      <c r="E972" s="21" t="str">
        <f>IF(A972="","",EXP(-Inputs!$C$8*A972))</f>
        <v/>
      </c>
      <c r="F972" s="22" t="str">
        <f t="shared" si="2"/>
        <v/>
      </c>
    </row>
    <row r="973">
      <c r="A973" s="18" t="str">
        <f>'Cashflow Schedule'!B973</f>
        <v/>
      </c>
      <c r="B973" s="18" t="str">
        <f>'Cashflow Schedule'!E973</f>
        <v/>
      </c>
      <c r="C973" s="22" t="str">
        <f>IF(A973="","",Inputs!$C$6*EXP((Inputs!$C$8-Inputs!$C$7)*A973))</f>
        <v/>
      </c>
      <c r="D973" s="22" t="str">
        <f t="shared" si="1"/>
        <v/>
      </c>
      <c r="E973" s="21" t="str">
        <f>IF(A973="","",EXP(-Inputs!$C$8*A973))</f>
        <v/>
      </c>
      <c r="F973" s="22" t="str">
        <f t="shared" si="2"/>
        <v/>
      </c>
    </row>
    <row r="974">
      <c r="A974" s="18" t="str">
        <f>'Cashflow Schedule'!B974</f>
        <v/>
      </c>
      <c r="B974" s="18" t="str">
        <f>'Cashflow Schedule'!E974</f>
        <v/>
      </c>
      <c r="C974" s="22" t="str">
        <f>IF(A974="","",Inputs!$C$6*EXP((Inputs!$C$8-Inputs!$C$7)*A974))</f>
        <v/>
      </c>
      <c r="D974" s="22" t="str">
        <f t="shared" si="1"/>
        <v/>
      </c>
      <c r="E974" s="21" t="str">
        <f>IF(A974="","",EXP(-Inputs!$C$8*A974))</f>
        <v/>
      </c>
      <c r="F974" s="22" t="str">
        <f t="shared" si="2"/>
        <v/>
      </c>
    </row>
    <row r="975">
      <c r="A975" s="18" t="str">
        <f>'Cashflow Schedule'!B975</f>
        <v/>
      </c>
      <c r="B975" s="18" t="str">
        <f>'Cashflow Schedule'!E975</f>
        <v/>
      </c>
      <c r="C975" s="22" t="str">
        <f>IF(A975="","",Inputs!$C$6*EXP((Inputs!$C$8-Inputs!$C$7)*A975))</f>
        <v/>
      </c>
      <c r="D975" s="22" t="str">
        <f t="shared" si="1"/>
        <v/>
      </c>
      <c r="E975" s="21" t="str">
        <f>IF(A975="","",EXP(-Inputs!$C$8*A975))</f>
        <v/>
      </c>
      <c r="F975" s="22" t="str">
        <f t="shared" si="2"/>
        <v/>
      </c>
    </row>
    <row r="976">
      <c r="A976" s="18" t="str">
        <f>'Cashflow Schedule'!B976</f>
        <v/>
      </c>
      <c r="B976" s="18" t="str">
        <f>'Cashflow Schedule'!E976</f>
        <v/>
      </c>
      <c r="C976" s="22" t="str">
        <f>IF(A976="","",Inputs!$C$6*EXP((Inputs!$C$8-Inputs!$C$7)*A976))</f>
        <v/>
      </c>
      <c r="D976" s="22" t="str">
        <f t="shared" si="1"/>
        <v/>
      </c>
      <c r="E976" s="21" t="str">
        <f>IF(A976="","",EXP(-Inputs!$C$8*A976))</f>
        <v/>
      </c>
      <c r="F976" s="22" t="str">
        <f t="shared" si="2"/>
        <v/>
      </c>
    </row>
    <row r="977">
      <c r="A977" s="18" t="str">
        <f>'Cashflow Schedule'!B977</f>
        <v/>
      </c>
      <c r="B977" s="18" t="str">
        <f>'Cashflow Schedule'!E977</f>
        <v/>
      </c>
      <c r="C977" s="22" t="str">
        <f>IF(A977="","",Inputs!$C$6*EXP((Inputs!$C$8-Inputs!$C$7)*A977))</f>
        <v/>
      </c>
      <c r="D977" s="22" t="str">
        <f t="shared" si="1"/>
        <v/>
      </c>
      <c r="E977" s="21" t="str">
        <f>IF(A977="","",EXP(-Inputs!$C$8*A977))</f>
        <v/>
      </c>
      <c r="F977" s="22" t="str">
        <f t="shared" si="2"/>
        <v/>
      </c>
    </row>
    <row r="978">
      <c r="A978" s="18" t="str">
        <f>'Cashflow Schedule'!B978</f>
        <v/>
      </c>
      <c r="B978" s="18" t="str">
        <f>'Cashflow Schedule'!E978</f>
        <v/>
      </c>
      <c r="C978" s="22" t="str">
        <f>IF(A978="","",Inputs!$C$6*EXP((Inputs!$C$8-Inputs!$C$7)*A978))</f>
        <v/>
      </c>
      <c r="D978" s="22" t="str">
        <f t="shared" si="1"/>
        <v/>
      </c>
      <c r="E978" s="21" t="str">
        <f>IF(A978="","",EXP(-Inputs!$C$8*A978))</f>
        <v/>
      </c>
      <c r="F978" s="22" t="str">
        <f t="shared" si="2"/>
        <v/>
      </c>
    </row>
    <row r="979">
      <c r="A979" s="18" t="str">
        <f>'Cashflow Schedule'!B979</f>
        <v/>
      </c>
      <c r="B979" s="18" t="str">
        <f>'Cashflow Schedule'!E979</f>
        <v/>
      </c>
      <c r="C979" s="22" t="str">
        <f>IF(A979="","",Inputs!$C$6*EXP((Inputs!$C$8-Inputs!$C$7)*A979))</f>
        <v/>
      </c>
      <c r="D979" s="22" t="str">
        <f t="shared" si="1"/>
        <v/>
      </c>
      <c r="E979" s="21" t="str">
        <f>IF(A979="","",EXP(-Inputs!$C$8*A979))</f>
        <v/>
      </c>
      <c r="F979" s="22" t="str">
        <f t="shared" si="2"/>
        <v/>
      </c>
    </row>
    <row r="980">
      <c r="A980" s="18" t="str">
        <f>'Cashflow Schedule'!B980</f>
        <v/>
      </c>
      <c r="B980" s="18" t="str">
        <f>'Cashflow Schedule'!E980</f>
        <v/>
      </c>
      <c r="C980" s="22" t="str">
        <f>IF(A980="","",Inputs!$C$6*EXP((Inputs!$C$8-Inputs!$C$7)*A980))</f>
        <v/>
      </c>
      <c r="D980" s="22" t="str">
        <f t="shared" si="1"/>
        <v/>
      </c>
      <c r="E980" s="21" t="str">
        <f>IF(A980="","",EXP(-Inputs!$C$8*A980))</f>
        <v/>
      </c>
      <c r="F980" s="22" t="str">
        <f t="shared" si="2"/>
        <v/>
      </c>
    </row>
    <row r="981">
      <c r="A981" s="18" t="str">
        <f>'Cashflow Schedule'!B981</f>
        <v/>
      </c>
      <c r="B981" s="18" t="str">
        <f>'Cashflow Schedule'!E981</f>
        <v/>
      </c>
      <c r="C981" s="22" t="str">
        <f>IF(A981="","",Inputs!$C$6*EXP((Inputs!$C$8-Inputs!$C$7)*A981))</f>
        <v/>
      </c>
      <c r="D981" s="22" t="str">
        <f t="shared" si="1"/>
        <v/>
      </c>
      <c r="E981" s="21" t="str">
        <f>IF(A981="","",EXP(-Inputs!$C$8*A981))</f>
        <v/>
      </c>
      <c r="F981" s="22" t="str">
        <f t="shared" si="2"/>
        <v/>
      </c>
    </row>
    <row r="982">
      <c r="A982" s="18" t="str">
        <f>'Cashflow Schedule'!B982</f>
        <v/>
      </c>
      <c r="B982" s="18" t="str">
        <f>'Cashflow Schedule'!E982</f>
        <v/>
      </c>
      <c r="C982" s="22" t="str">
        <f>IF(A982="","",Inputs!$C$6*EXP((Inputs!$C$8-Inputs!$C$7)*A982))</f>
        <v/>
      </c>
      <c r="D982" s="22" t="str">
        <f t="shared" si="1"/>
        <v/>
      </c>
      <c r="E982" s="21" t="str">
        <f>IF(A982="","",EXP(-Inputs!$C$8*A982))</f>
        <v/>
      </c>
      <c r="F982" s="22" t="str">
        <f t="shared" si="2"/>
        <v/>
      </c>
    </row>
    <row r="983">
      <c r="A983" s="18" t="str">
        <f>'Cashflow Schedule'!B983</f>
        <v/>
      </c>
      <c r="B983" s="18" t="str">
        <f>'Cashflow Schedule'!E983</f>
        <v/>
      </c>
      <c r="C983" s="22" t="str">
        <f>IF(A983="","",Inputs!$C$6*EXP((Inputs!$C$8-Inputs!$C$7)*A983))</f>
        <v/>
      </c>
      <c r="D983" s="22" t="str">
        <f t="shared" si="1"/>
        <v/>
      </c>
      <c r="E983" s="21" t="str">
        <f>IF(A983="","",EXP(-Inputs!$C$8*A983))</f>
        <v/>
      </c>
      <c r="F983" s="22" t="str">
        <f t="shared" si="2"/>
        <v/>
      </c>
    </row>
    <row r="984">
      <c r="A984" s="18" t="str">
        <f>'Cashflow Schedule'!B984</f>
        <v/>
      </c>
      <c r="B984" s="18" t="str">
        <f>'Cashflow Schedule'!E984</f>
        <v/>
      </c>
      <c r="C984" s="22" t="str">
        <f>IF(A984="","",Inputs!$C$6*EXP((Inputs!$C$8-Inputs!$C$7)*A984))</f>
        <v/>
      </c>
      <c r="D984" s="22" t="str">
        <f t="shared" si="1"/>
        <v/>
      </c>
      <c r="E984" s="21" t="str">
        <f>IF(A984="","",EXP(-Inputs!$C$8*A984))</f>
        <v/>
      </c>
      <c r="F984" s="22" t="str">
        <f t="shared" si="2"/>
        <v/>
      </c>
    </row>
    <row r="985">
      <c r="A985" s="18" t="str">
        <f>'Cashflow Schedule'!B985</f>
        <v/>
      </c>
      <c r="B985" s="18" t="str">
        <f>'Cashflow Schedule'!E985</f>
        <v/>
      </c>
      <c r="C985" s="22" t="str">
        <f>IF(A985="","",Inputs!$C$6*EXP((Inputs!$C$8-Inputs!$C$7)*A985))</f>
        <v/>
      </c>
      <c r="D985" s="22" t="str">
        <f t="shared" si="1"/>
        <v/>
      </c>
      <c r="E985" s="21" t="str">
        <f>IF(A985="","",EXP(-Inputs!$C$8*A985))</f>
        <v/>
      </c>
      <c r="F985" s="22" t="str">
        <f t="shared" si="2"/>
        <v/>
      </c>
    </row>
    <row r="986">
      <c r="A986" s="18" t="str">
        <f>'Cashflow Schedule'!B986</f>
        <v/>
      </c>
      <c r="B986" s="18" t="str">
        <f>'Cashflow Schedule'!E986</f>
        <v/>
      </c>
      <c r="C986" s="22" t="str">
        <f>IF(A986="","",Inputs!$C$6*EXP((Inputs!$C$8-Inputs!$C$7)*A986))</f>
        <v/>
      </c>
      <c r="D986" s="22" t="str">
        <f t="shared" si="1"/>
        <v/>
      </c>
      <c r="E986" s="21" t="str">
        <f>IF(A986="","",EXP(-Inputs!$C$8*A986))</f>
        <v/>
      </c>
      <c r="F986" s="22" t="str">
        <f t="shared" si="2"/>
        <v/>
      </c>
    </row>
    <row r="987">
      <c r="A987" s="18" t="str">
        <f>'Cashflow Schedule'!B987</f>
        <v/>
      </c>
      <c r="B987" s="18" t="str">
        <f>'Cashflow Schedule'!E987</f>
        <v/>
      </c>
      <c r="C987" s="22" t="str">
        <f>IF(A987="","",Inputs!$C$6*EXP((Inputs!$C$8-Inputs!$C$7)*A987))</f>
        <v/>
      </c>
      <c r="D987" s="22" t="str">
        <f t="shared" si="1"/>
        <v/>
      </c>
      <c r="E987" s="21" t="str">
        <f>IF(A987="","",EXP(-Inputs!$C$8*A987))</f>
        <v/>
      </c>
      <c r="F987" s="22" t="str">
        <f t="shared" si="2"/>
        <v/>
      </c>
    </row>
    <row r="988">
      <c r="A988" s="18" t="str">
        <f>'Cashflow Schedule'!B988</f>
        <v/>
      </c>
      <c r="B988" s="18" t="str">
        <f>'Cashflow Schedule'!E988</f>
        <v/>
      </c>
      <c r="C988" s="22" t="str">
        <f>IF(A988="","",Inputs!$C$6*EXP((Inputs!$C$8-Inputs!$C$7)*A988))</f>
        <v/>
      </c>
      <c r="D988" s="22" t="str">
        <f t="shared" si="1"/>
        <v/>
      </c>
      <c r="E988" s="21" t="str">
        <f>IF(A988="","",EXP(-Inputs!$C$8*A988))</f>
        <v/>
      </c>
      <c r="F988" s="22" t="str">
        <f t="shared" si="2"/>
        <v/>
      </c>
    </row>
    <row r="989">
      <c r="A989" s="18" t="str">
        <f>'Cashflow Schedule'!B989</f>
        <v/>
      </c>
      <c r="B989" s="18" t="str">
        <f>'Cashflow Schedule'!E989</f>
        <v/>
      </c>
      <c r="C989" s="22" t="str">
        <f>IF(A989="","",Inputs!$C$6*EXP((Inputs!$C$8-Inputs!$C$7)*A989))</f>
        <v/>
      </c>
      <c r="D989" s="22" t="str">
        <f t="shared" si="1"/>
        <v/>
      </c>
      <c r="E989" s="21" t="str">
        <f>IF(A989="","",EXP(-Inputs!$C$8*A989))</f>
        <v/>
      </c>
      <c r="F989" s="22" t="str">
        <f t="shared" si="2"/>
        <v/>
      </c>
    </row>
    <row r="990">
      <c r="A990" s="18" t="str">
        <f>'Cashflow Schedule'!B990</f>
        <v/>
      </c>
      <c r="B990" s="18" t="str">
        <f>'Cashflow Schedule'!E990</f>
        <v/>
      </c>
      <c r="C990" s="22" t="str">
        <f>IF(A990="","",Inputs!$C$6*EXP((Inputs!$C$8-Inputs!$C$7)*A990))</f>
        <v/>
      </c>
      <c r="D990" s="22" t="str">
        <f t="shared" si="1"/>
        <v/>
      </c>
      <c r="E990" s="21" t="str">
        <f>IF(A990="","",EXP(-Inputs!$C$8*A990))</f>
        <v/>
      </c>
      <c r="F990" s="22" t="str">
        <f t="shared" si="2"/>
        <v/>
      </c>
    </row>
    <row r="991">
      <c r="A991" s="18" t="str">
        <f>'Cashflow Schedule'!B991</f>
        <v/>
      </c>
      <c r="B991" s="18" t="str">
        <f>'Cashflow Schedule'!E991</f>
        <v/>
      </c>
      <c r="C991" s="22" t="str">
        <f>IF(A991="","",Inputs!$C$6*EXP((Inputs!$C$8-Inputs!$C$7)*A991))</f>
        <v/>
      </c>
      <c r="D991" s="22" t="str">
        <f t="shared" si="1"/>
        <v/>
      </c>
      <c r="E991" s="21" t="str">
        <f>IF(A991="","",EXP(-Inputs!$C$8*A991))</f>
        <v/>
      </c>
      <c r="F991" s="22" t="str">
        <f t="shared" si="2"/>
        <v/>
      </c>
    </row>
    <row r="992">
      <c r="A992" s="18" t="str">
        <f>'Cashflow Schedule'!B992</f>
        <v/>
      </c>
      <c r="B992" s="18" t="str">
        <f>'Cashflow Schedule'!E992</f>
        <v/>
      </c>
      <c r="C992" s="22" t="str">
        <f>IF(A992="","",Inputs!$C$6*EXP((Inputs!$C$8-Inputs!$C$7)*A992))</f>
        <v/>
      </c>
      <c r="D992" s="22" t="str">
        <f t="shared" si="1"/>
        <v/>
      </c>
      <c r="E992" s="21" t="str">
        <f>IF(A992="","",EXP(-Inputs!$C$8*A992))</f>
        <v/>
      </c>
      <c r="F992" s="22" t="str">
        <f t="shared" si="2"/>
        <v/>
      </c>
    </row>
    <row r="993">
      <c r="A993" s="18" t="str">
        <f>'Cashflow Schedule'!B993</f>
        <v/>
      </c>
      <c r="B993" s="18" t="str">
        <f>'Cashflow Schedule'!E993</f>
        <v/>
      </c>
      <c r="C993" s="22" t="str">
        <f>IF(A993="","",Inputs!$C$6*EXP((Inputs!$C$8-Inputs!$C$7)*A993))</f>
        <v/>
      </c>
      <c r="D993" s="22" t="str">
        <f t="shared" si="1"/>
        <v/>
      </c>
      <c r="E993" s="21" t="str">
        <f>IF(A993="","",EXP(-Inputs!$C$8*A993))</f>
        <v/>
      </c>
      <c r="F993" s="22" t="str">
        <f t="shared" si="2"/>
        <v/>
      </c>
    </row>
    <row r="994">
      <c r="A994" s="18" t="str">
        <f>'Cashflow Schedule'!B994</f>
        <v/>
      </c>
      <c r="B994" s="18" t="str">
        <f>'Cashflow Schedule'!E994</f>
        <v/>
      </c>
      <c r="C994" s="22" t="str">
        <f>IF(A994="","",Inputs!$C$6*EXP((Inputs!$C$8-Inputs!$C$7)*A994))</f>
        <v/>
      </c>
      <c r="D994" s="22" t="str">
        <f t="shared" si="1"/>
        <v/>
      </c>
      <c r="E994" s="21" t="str">
        <f>IF(A994="","",EXP(-Inputs!$C$8*A994))</f>
        <v/>
      </c>
      <c r="F994" s="22" t="str">
        <f t="shared" si="2"/>
        <v/>
      </c>
    </row>
    <row r="995">
      <c r="A995" s="18" t="str">
        <f>'Cashflow Schedule'!B995</f>
        <v/>
      </c>
      <c r="B995" s="18" t="str">
        <f>'Cashflow Schedule'!E995</f>
        <v/>
      </c>
      <c r="C995" s="22" t="str">
        <f>IF(A995="","",Inputs!$C$6*EXP((Inputs!$C$8-Inputs!$C$7)*A995))</f>
        <v/>
      </c>
      <c r="D995" s="22" t="str">
        <f t="shared" si="1"/>
        <v/>
      </c>
      <c r="E995" s="21" t="str">
        <f>IF(A995="","",EXP(-Inputs!$C$8*A995))</f>
        <v/>
      </c>
      <c r="F995" s="22" t="str">
        <f t="shared" si="2"/>
        <v/>
      </c>
    </row>
    <row r="996">
      <c r="A996" s="18" t="str">
        <f>'Cashflow Schedule'!B996</f>
        <v/>
      </c>
      <c r="B996" s="18" t="str">
        <f>'Cashflow Schedule'!E996</f>
        <v/>
      </c>
      <c r="C996" s="22" t="str">
        <f>IF(A996="","",Inputs!$C$6*EXP((Inputs!$C$8-Inputs!$C$7)*A996))</f>
        <v/>
      </c>
      <c r="D996" s="22" t="str">
        <f t="shared" si="1"/>
        <v/>
      </c>
      <c r="E996" s="21" t="str">
        <f>IF(A996="","",EXP(-Inputs!$C$8*A996))</f>
        <v/>
      </c>
      <c r="F996" s="22" t="str">
        <f t="shared" si="2"/>
        <v/>
      </c>
    </row>
    <row r="997">
      <c r="A997" s="18" t="str">
        <f>'Cashflow Schedule'!B997</f>
        <v/>
      </c>
      <c r="B997" s="18" t="str">
        <f>'Cashflow Schedule'!E997</f>
        <v/>
      </c>
      <c r="C997" s="22" t="str">
        <f>IF(A997="","",Inputs!$C$6*EXP((Inputs!$C$8-Inputs!$C$7)*A997))</f>
        <v/>
      </c>
      <c r="D997" s="22" t="str">
        <f t="shared" si="1"/>
        <v/>
      </c>
      <c r="E997" s="21" t="str">
        <f>IF(A997="","",EXP(-Inputs!$C$8*A997))</f>
        <v/>
      </c>
      <c r="F997" s="22" t="str">
        <f t="shared" si="2"/>
        <v/>
      </c>
    </row>
    <row r="998">
      <c r="A998" s="18" t="str">
        <f>'Cashflow Schedule'!B998</f>
        <v/>
      </c>
      <c r="B998" s="18" t="str">
        <f>'Cashflow Schedule'!E998</f>
        <v/>
      </c>
      <c r="C998" s="22" t="str">
        <f>IF(A998="","",Inputs!$C$6*EXP((Inputs!$C$8-Inputs!$C$7)*A998))</f>
        <v/>
      </c>
      <c r="D998" s="22" t="str">
        <f t="shared" si="1"/>
        <v/>
      </c>
      <c r="E998" s="21" t="str">
        <f>IF(A998="","",EXP(-Inputs!$C$8*A998))</f>
        <v/>
      </c>
      <c r="F998" s="22" t="str">
        <f t="shared" si="2"/>
        <v/>
      </c>
    </row>
    <row r="999">
      <c r="A999" s="18" t="str">
        <f>'Cashflow Schedule'!B999</f>
        <v/>
      </c>
      <c r="B999" s="18" t="str">
        <f>'Cashflow Schedule'!E999</f>
        <v/>
      </c>
      <c r="C999" s="22" t="str">
        <f>IF(A999="","",Inputs!$C$6*EXP((Inputs!$C$8-Inputs!$C$7)*A999))</f>
        <v/>
      </c>
      <c r="D999" s="22" t="str">
        <f t="shared" si="1"/>
        <v/>
      </c>
      <c r="E999" s="21" t="str">
        <f>IF(A999="","",EXP(-Inputs!$C$8*A999))</f>
        <v/>
      </c>
      <c r="F999" s="22" t="str">
        <f t="shared" si="2"/>
        <v/>
      </c>
    </row>
    <row r="1000">
      <c r="A1000" s="18" t="str">
        <f>'Cashflow Schedule'!B1000</f>
        <v/>
      </c>
      <c r="B1000" s="18" t="str">
        <f>'Cashflow Schedule'!E1000</f>
        <v/>
      </c>
      <c r="C1000" s="22" t="str">
        <f>IF(A1000="","",Inputs!$C$6*EXP((Inputs!$C$8-Inputs!$C$7)*A1000))</f>
        <v/>
      </c>
      <c r="D1000" s="22" t="str">
        <f t="shared" si="1"/>
        <v/>
      </c>
      <c r="E1000" s="21" t="str">
        <f>IF(A1000="","",EXP(-Inputs!$C$8*A1000))</f>
        <v/>
      </c>
      <c r="F1000" s="22" t="str">
        <f t="shared" si="2"/>
        <v/>
      </c>
    </row>
  </sheetData>
  <mergeCells count="1">
    <mergeCell ref="H5:I5"/>
  </mergeCells>
  <drawing r:id="rId1"/>
</worksheet>
</file>
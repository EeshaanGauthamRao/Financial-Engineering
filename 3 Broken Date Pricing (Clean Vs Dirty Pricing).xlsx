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5"/>
    <sheet state="visible" name="Accrued Interest" sheetId="2" r:id="rId6"/>
    <sheet state="visible" name="Cashflows" sheetId="3" r:id="rId7"/>
    <sheet state="visible" name="Results" sheetId="4" r:id="rId8"/>
  </sheets>
  <definedNames/>
  <calcPr/>
</workbook>
</file>

<file path=xl/sharedStrings.xml><?xml version="1.0" encoding="utf-8"?>
<sst xmlns="http://schemas.openxmlformats.org/spreadsheetml/2006/main" count="32" uniqueCount="32">
  <si>
    <t>Inputs (Bond, Trade and Market Data)</t>
  </si>
  <si>
    <t>Face Value (Notional)</t>
  </si>
  <si>
    <t>Annual Coupon Rate</t>
  </si>
  <si>
    <t>Coupon Frequency Per Year</t>
  </si>
  <si>
    <t>Issue Date</t>
  </si>
  <si>
    <t>Maturity Date</t>
  </si>
  <si>
    <t>Last Coupon Date</t>
  </si>
  <si>
    <t>Next Coupon Date</t>
  </si>
  <si>
    <t>Trade Date</t>
  </si>
  <si>
    <t>Settlement Days</t>
  </si>
  <si>
    <t xml:space="preserve">Yield to Maturity </t>
  </si>
  <si>
    <t>Settement Date</t>
  </si>
  <si>
    <t>Coupon Per Period</t>
  </si>
  <si>
    <t xml:space="preserve">Yield Per Period </t>
  </si>
  <si>
    <t>Day Count Basis</t>
  </si>
  <si>
    <t>Days Elapsed</t>
  </si>
  <si>
    <t>Days in Full Coupon Period</t>
  </si>
  <si>
    <t>Fraction of Period Elapsed</t>
  </si>
  <si>
    <t>Fraction of Period Remaining (f)</t>
  </si>
  <si>
    <t>Accrued Interest</t>
  </si>
  <si>
    <t>Future Cashflows and Dirty Price</t>
  </si>
  <si>
    <t>Remaining Periods to Maturity</t>
  </si>
  <si>
    <t>Period (i)</t>
  </si>
  <si>
    <t>Exponent (f+i)</t>
  </si>
  <si>
    <t xml:space="preserve">Discount Factor </t>
  </si>
  <si>
    <t xml:space="preserve">Cashflow </t>
  </si>
  <si>
    <t>PV of CF</t>
  </si>
  <si>
    <t>Dirty Price</t>
  </si>
  <si>
    <t xml:space="preserve">Results </t>
  </si>
  <si>
    <t xml:space="preserve">Dirty Price (Full Price) </t>
  </si>
  <si>
    <t>Accrued Interest (AI)</t>
  </si>
  <si>
    <t xml:space="preserve">Clean Price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</si>
</sst>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000"/>
  </numFmts>
  <fonts count="7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b/>
      <color theme="1"/>
      <name val="Arial"/>
      <scheme val="minor"/>
    </font>
    <font>
      <color rgb="FF0000FF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10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2" fillId="3" fontId="5" numFmtId="164" xfId="0" applyAlignment="1" applyBorder="1" applyFill="1" applyFont="1" applyNumberFormat="1">
      <alignment horizontal="center" readingOrder="0"/>
    </xf>
    <xf borderId="2" fillId="0" fontId="6" numFmtId="0" xfId="0" applyBorder="1" applyFont="1"/>
    <xf borderId="0" fillId="3" fontId="6" numFmtId="2" xfId="0" applyAlignment="1" applyFont="1" applyNumberFormat="1">
      <alignment horizontal="center"/>
    </xf>
    <xf borderId="0" fillId="3" fontId="6" numFmtId="10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0" fillId="0" fontId="6" numFmtId="165" xfId="0" applyAlignment="1" applyFont="1" applyNumberFormat="1">
      <alignment horizontal="center"/>
    </xf>
    <xf borderId="2" fillId="0" fontId="6" numFmtId="165" xfId="0" applyAlignment="1" applyBorder="1" applyFont="1" applyNumberFormat="1">
      <alignment horizontal="center"/>
    </xf>
    <xf borderId="0" fillId="2" fontId="1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2" xfId="0" applyAlignment="1" applyFont="1" applyNumberFormat="1">
      <alignment horizontal="center"/>
    </xf>
    <xf borderId="2" fillId="3" fontId="3" numFmtId="0" xfId="0" applyAlignment="1" applyBorder="1" applyFont="1">
      <alignment readingOrder="0"/>
    </xf>
    <xf borderId="2" fillId="3" fontId="6" numFmtId="0" xfId="0" applyBorder="1" applyFont="1"/>
    <xf borderId="2" fillId="3" fontId="6" numFmtId="165" xfId="0" applyAlignment="1" applyBorder="1" applyFont="1" applyNumberFormat="1">
      <alignment horizontal="center"/>
    </xf>
    <xf borderId="5" fillId="2" fontId="1" numFmtId="0" xfId="0" applyAlignment="1" applyBorder="1" applyFont="1">
      <alignment horizontal="center" readingOrder="0"/>
    </xf>
    <xf borderId="5" fillId="0" fontId="2" numFmtId="0" xfId="0" applyBorder="1" applyFont="1"/>
    <xf borderId="0" fillId="4" fontId="6" numFmtId="2" xfId="0" applyAlignment="1" applyFill="1" applyFont="1" applyNumberFormat="1">
      <alignment horizontal="center"/>
    </xf>
    <xf borderId="2" fillId="3" fontId="6" numFmtId="2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C2" s="5">
        <v>100.0</v>
      </c>
    </row>
    <row r="3">
      <c r="A3" s="4" t="s">
        <v>2</v>
      </c>
      <c r="C3" s="6">
        <v>0.08</v>
      </c>
    </row>
    <row r="4">
      <c r="A4" s="4" t="s">
        <v>3</v>
      </c>
      <c r="C4" s="5">
        <v>2.0</v>
      </c>
    </row>
    <row r="5">
      <c r="A5" s="4" t="s">
        <v>4</v>
      </c>
      <c r="C5" s="7">
        <v>45658.0</v>
      </c>
    </row>
    <row r="6">
      <c r="A6" s="4" t="s">
        <v>5</v>
      </c>
      <c r="C6" s="7">
        <v>47484.0</v>
      </c>
    </row>
    <row r="7">
      <c r="A7" s="4" t="s">
        <v>6</v>
      </c>
      <c r="C7" s="7">
        <v>46023.0</v>
      </c>
    </row>
    <row r="8">
      <c r="A8" s="4" t="s">
        <v>7</v>
      </c>
      <c r="C8" s="7">
        <v>46204.0</v>
      </c>
    </row>
    <row r="9">
      <c r="A9" s="4" t="s">
        <v>8</v>
      </c>
      <c r="C9" s="7">
        <v>46096.0</v>
      </c>
    </row>
    <row r="10">
      <c r="A10" s="4" t="s">
        <v>9</v>
      </c>
      <c r="C10" s="5">
        <v>2.0</v>
      </c>
    </row>
    <row r="11">
      <c r="A11" s="4" t="s">
        <v>10</v>
      </c>
      <c r="C11" s="6">
        <v>0.076</v>
      </c>
    </row>
    <row r="12">
      <c r="A12" s="8"/>
      <c r="B12" s="8"/>
      <c r="C12" s="6"/>
      <c r="D12" s="6"/>
    </row>
    <row r="13">
      <c r="A13" s="9" t="s">
        <v>11</v>
      </c>
      <c r="B13" s="2"/>
      <c r="C13" s="10">
        <f>C9+C10</f>
        <v>46098</v>
      </c>
      <c r="D13" s="2"/>
      <c r="E13" s="11"/>
    </row>
    <row r="14">
      <c r="A14" s="4" t="s">
        <v>12</v>
      </c>
      <c r="C14" s="12">
        <f>(C3/C4)*C2</f>
        <v>4</v>
      </c>
    </row>
    <row r="15">
      <c r="A15" s="8" t="s">
        <v>13</v>
      </c>
      <c r="C15" s="13">
        <f>C11/C4</f>
        <v>0.038</v>
      </c>
    </row>
  </sheetData>
  <mergeCells count="27">
    <mergeCell ref="A8:B8"/>
    <mergeCell ref="A9:B9"/>
    <mergeCell ref="A10:B10"/>
    <mergeCell ref="A11:B11"/>
    <mergeCell ref="A14:B14"/>
    <mergeCell ref="A15:B15"/>
    <mergeCell ref="A13:B13"/>
    <mergeCell ref="C2:D2"/>
    <mergeCell ref="C3:D3"/>
    <mergeCell ref="C4:D4"/>
    <mergeCell ref="C5:D5"/>
    <mergeCell ref="A2:B2"/>
    <mergeCell ref="A3:B3"/>
    <mergeCell ref="A4:B4"/>
    <mergeCell ref="A5:B5"/>
    <mergeCell ref="A6:B6"/>
    <mergeCell ref="A7:B7"/>
    <mergeCell ref="A1:E1"/>
    <mergeCell ref="C14:D14"/>
    <mergeCell ref="C13:D13"/>
    <mergeCell ref="C6:D6"/>
    <mergeCell ref="C7:D7"/>
    <mergeCell ref="C8:D8"/>
    <mergeCell ref="C9:D9"/>
    <mergeCell ref="C10:D10"/>
    <mergeCell ref="C11:D11"/>
    <mergeCell ref="C15:D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13"/>
  </cols>
  <sheetData>
    <row r="1">
      <c r="A1" s="1" t="s">
        <v>14</v>
      </c>
      <c r="B1" s="2"/>
      <c r="C1" s="2"/>
      <c r="D1" s="3"/>
    </row>
    <row r="2">
      <c r="A2" s="4" t="s">
        <v>15</v>
      </c>
      <c r="C2" s="14">
        <f>DAYS360(Inputs!C7,Inputs!C13,0)</f>
        <v>76</v>
      </c>
    </row>
    <row r="3">
      <c r="A3" s="4" t="s">
        <v>16</v>
      </c>
      <c r="C3" s="14">
        <f>DAYS360(Inputs!C7,Inputs!C8,0)</f>
        <v>180</v>
      </c>
    </row>
    <row r="4">
      <c r="A4" s="4" t="s">
        <v>17</v>
      </c>
      <c r="C4" s="15">
        <f>C2/C3</f>
        <v>0.4222222222</v>
      </c>
    </row>
    <row r="5">
      <c r="A5" s="4" t="s">
        <v>18</v>
      </c>
      <c r="C5" s="15">
        <f>1-C4</f>
        <v>0.5777777778</v>
      </c>
    </row>
    <row r="6">
      <c r="A6" s="4"/>
    </row>
    <row r="7">
      <c r="A7" s="9" t="s">
        <v>19</v>
      </c>
      <c r="B7" s="2"/>
      <c r="C7" s="16">
        <f>C4*Inputs!C14</f>
        <v>1.688888889</v>
      </c>
      <c r="D7" s="2"/>
    </row>
  </sheetData>
  <mergeCells count="12">
    <mergeCell ref="C2:D2"/>
    <mergeCell ref="C3:D3"/>
    <mergeCell ref="C4:D4"/>
    <mergeCell ref="C5:D5"/>
    <mergeCell ref="A2:B2"/>
    <mergeCell ref="A3:B3"/>
    <mergeCell ref="A4:B4"/>
    <mergeCell ref="A5:B5"/>
    <mergeCell ref="A6:B6"/>
    <mergeCell ref="A7:B7"/>
    <mergeCell ref="C7:D7"/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25"/>
    <col customWidth="1" min="3" max="3" width="22.13"/>
    <col customWidth="1" min="4" max="4" width="20.0"/>
    <col customWidth="1" min="5" max="5" width="19.5"/>
  </cols>
  <sheetData>
    <row r="1">
      <c r="A1" s="17" t="s">
        <v>20</v>
      </c>
    </row>
    <row r="2">
      <c r="A2" s="8" t="s">
        <v>21</v>
      </c>
      <c r="C2" s="14">
        <f>ROUND(DAYS360(Inputs!C13,Inputs!C6,0)/'Accrued Interest'!C3,0)</f>
        <v>8</v>
      </c>
    </row>
    <row r="4">
      <c r="A4" s="17" t="s">
        <v>22</v>
      </c>
      <c r="B4" s="17" t="s">
        <v>23</v>
      </c>
      <c r="C4" s="17" t="s">
        <v>24</v>
      </c>
      <c r="D4" s="17" t="s">
        <v>25</v>
      </c>
      <c r="E4" s="17" t="s">
        <v>26</v>
      </c>
    </row>
    <row r="5">
      <c r="A5" s="18">
        <v>0.0</v>
      </c>
      <c r="B5" s="15">
        <f>A5 + 'Accrued Interest'!$C$5</f>
        <v>0.5777777778</v>
      </c>
      <c r="C5" s="15">
        <f>1/((1+Inputs!$C$15)^B5)</f>
        <v>0.9786818384</v>
      </c>
      <c r="D5" s="19">
        <f>Inputs!$C$14</f>
        <v>4</v>
      </c>
      <c r="E5" s="15">
        <f t="shared" ref="E5:E12" si="1">C5*D5</f>
        <v>3.914727353</v>
      </c>
    </row>
    <row r="6">
      <c r="A6" s="18">
        <v>1.0</v>
      </c>
      <c r="B6" s="15">
        <f>A6 + 'Accrued Interest'!$C$5</f>
        <v>1.577777778</v>
      </c>
      <c r="C6" s="15">
        <f>1/((1+Inputs!$C$15)^B6)</f>
        <v>0.9428534088</v>
      </c>
      <c r="D6" s="19">
        <f>Inputs!$C$14</f>
        <v>4</v>
      </c>
      <c r="E6" s="15">
        <f t="shared" si="1"/>
        <v>3.771413635</v>
      </c>
    </row>
    <row r="7">
      <c r="A7" s="18">
        <v>2.0</v>
      </c>
      <c r="B7" s="15">
        <f>A7 + 'Accrued Interest'!$C$5</f>
        <v>2.577777778</v>
      </c>
      <c r="C7" s="15">
        <f>1/((1+Inputs!$C$15)^B7)</f>
        <v>0.9083366174</v>
      </c>
      <c r="D7" s="19">
        <f>Inputs!$C$14</f>
        <v>4</v>
      </c>
      <c r="E7" s="15">
        <f t="shared" si="1"/>
        <v>3.633346469</v>
      </c>
    </row>
    <row r="8">
      <c r="A8" s="18">
        <v>3.0</v>
      </c>
      <c r="B8" s="15">
        <f>A8 + 'Accrued Interest'!$C$5</f>
        <v>3.577777778</v>
      </c>
      <c r="C8" s="15">
        <f>1/((1+Inputs!$C$15)^B8)</f>
        <v>0.8750834464</v>
      </c>
      <c r="D8" s="19">
        <f>Inputs!$C$14</f>
        <v>4</v>
      </c>
      <c r="E8" s="15">
        <f t="shared" si="1"/>
        <v>3.500333786</v>
      </c>
    </row>
    <row r="9">
      <c r="A9" s="18">
        <v>4.0</v>
      </c>
      <c r="B9" s="15">
        <f>A9 + 'Accrued Interest'!$C$5</f>
        <v>4.577777778</v>
      </c>
      <c r="C9" s="15">
        <f>1/((1+Inputs!$C$15)^B9)</f>
        <v>0.8430476362</v>
      </c>
      <c r="D9" s="19">
        <f>Inputs!$C$14</f>
        <v>4</v>
      </c>
      <c r="E9" s="15">
        <f t="shared" si="1"/>
        <v>3.372190545</v>
      </c>
    </row>
    <row r="10">
      <c r="A10" s="18">
        <v>5.0</v>
      </c>
      <c r="B10" s="15">
        <f>A10 + 'Accrued Interest'!$C$5</f>
        <v>5.577777778</v>
      </c>
      <c r="C10" s="15">
        <f>1/((1+Inputs!$C$15)^B10)</f>
        <v>0.8121846206</v>
      </c>
      <c r="D10" s="19">
        <f>Inputs!$C$14</f>
        <v>4</v>
      </c>
      <c r="E10" s="15">
        <f t="shared" si="1"/>
        <v>3.248738483</v>
      </c>
    </row>
    <row r="11">
      <c r="A11" s="18">
        <v>6.0</v>
      </c>
      <c r="B11" s="15">
        <f>A11 + 'Accrued Interest'!$C$5</f>
        <v>6.577777778</v>
      </c>
      <c r="C11" s="15">
        <f>1/((1+Inputs!$C$15)^B11)</f>
        <v>0.782451465</v>
      </c>
      <c r="D11" s="19">
        <f>Inputs!$C$14</f>
        <v>4</v>
      </c>
      <c r="E11" s="15">
        <f t="shared" si="1"/>
        <v>3.12980586</v>
      </c>
    </row>
    <row r="12">
      <c r="A12" s="18">
        <v>7.0</v>
      </c>
      <c r="B12" s="15">
        <f>A12 + 'Accrued Interest'!$C$5</f>
        <v>7.577777778</v>
      </c>
      <c r="C12" s="15">
        <f>1/((1+Inputs!$C$15)^B12)</f>
        <v>0.7538068063</v>
      </c>
      <c r="D12" s="19">
        <f>Inputs!C14+Inputs!C2</f>
        <v>104</v>
      </c>
      <c r="E12" s="15">
        <f t="shared" si="1"/>
        <v>78.39590786</v>
      </c>
    </row>
    <row r="14">
      <c r="A14" s="20" t="s">
        <v>27</v>
      </c>
      <c r="B14" s="21"/>
      <c r="C14" s="21"/>
      <c r="D14" s="21"/>
      <c r="E14" s="22">
        <f>SUM(E5:E12)</f>
        <v>102.966464</v>
      </c>
    </row>
  </sheetData>
  <mergeCells count="3">
    <mergeCell ref="A2:B2"/>
    <mergeCell ref="C2:D2"/>
    <mergeCell ref="A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23" t="s">
        <v>28</v>
      </c>
      <c r="B1" s="24"/>
      <c r="C1" s="24"/>
      <c r="D1" s="24"/>
    </row>
    <row r="2">
      <c r="A2" s="8" t="s">
        <v>29</v>
      </c>
      <c r="C2" s="25">
        <f>Cashflows!E14</f>
        <v>102.966464</v>
      </c>
    </row>
    <row r="3">
      <c r="A3" s="8" t="s">
        <v>30</v>
      </c>
      <c r="C3" s="25">
        <f>'Accrued Interest'!C7</f>
        <v>1.688888889</v>
      </c>
    </row>
    <row r="4">
      <c r="A4" s="20" t="s">
        <v>31</v>
      </c>
      <c r="B4" s="2"/>
      <c r="C4" s="26">
        <f>C2-C3</f>
        <v>101.2775751</v>
      </c>
      <c r="D4" s="2"/>
    </row>
  </sheetData>
  <mergeCells count="7">
    <mergeCell ref="A1:D1"/>
    <mergeCell ref="A2:B2"/>
    <mergeCell ref="A3:B3"/>
    <mergeCell ref="A4:B4"/>
    <mergeCell ref="C2:D2"/>
    <mergeCell ref="C3:D3"/>
    <mergeCell ref="C4:D4"/>
  </mergeCells>
  <drawing r:id="rId1"/>
</worksheet>
</file>